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ndyManGrant\handymanGrantWebsite\websiteRevamp\"/>
    </mc:Choice>
  </mc:AlternateContent>
  <xr:revisionPtr revIDLastSave="0" documentId="13_ncr:9_{1B2E1276-3824-457F-850A-7986972B7980}" xr6:coauthVersionLast="47" xr6:coauthVersionMax="47" xr10:uidLastSave="{00000000-0000-0000-0000-000000000000}"/>
  <bookViews>
    <workbookView xWindow="-120" yWindow="-120" windowWidth="38640" windowHeight="21120" activeTab="1" xr2:uid="{CEC9214C-DF40-4F75-A28E-66782881BD52}"/>
  </bookViews>
  <sheets>
    <sheet name="googleAdCopyOutput" sheetId="1" r:id="rId1"/>
    <sheet name="Sheet1" sheetId="2" r:id="rId2"/>
  </sheets>
  <definedNames>
    <definedName name="_xlnm._FilterDatabase" localSheetId="1" hidden="1">Sheet1!$A$1:$G$244</definedName>
  </definedNames>
  <calcPr calcId="0"/>
</workbook>
</file>

<file path=xl/calcChain.xml><?xml version="1.0" encoding="utf-8"?>
<calcChain xmlns="http://schemas.openxmlformats.org/spreadsheetml/2006/main">
  <c r="D53" i="2" l="1"/>
  <c r="F53" i="2" s="1"/>
  <c r="D54" i="2"/>
  <c r="D55" i="2"/>
  <c r="D56" i="2"/>
  <c r="D57" i="2"/>
  <c r="D58" i="2"/>
  <c r="D59" i="2"/>
  <c r="F59" i="2" s="1"/>
  <c r="D60" i="2"/>
  <c r="F60" i="2" s="1"/>
  <c r="D61" i="2"/>
  <c r="D62" i="2"/>
  <c r="D63" i="2"/>
  <c r="D64" i="2"/>
  <c r="F64" i="2" s="1"/>
  <c r="D65" i="2"/>
  <c r="F65" i="2" s="1"/>
  <c r="D66" i="2"/>
  <c r="F66" i="2" s="1"/>
  <c r="D67" i="2"/>
  <c r="F67" i="2" s="1"/>
  <c r="E3" i="2"/>
  <c r="G3" i="2" s="1"/>
  <c r="E4" i="2"/>
  <c r="E5" i="2"/>
  <c r="E6" i="2"/>
  <c r="E7" i="2"/>
  <c r="E8" i="2"/>
  <c r="E9" i="2"/>
  <c r="E10" i="2"/>
  <c r="E11" i="2"/>
  <c r="G11" i="2" s="1"/>
  <c r="E12" i="2"/>
  <c r="E13" i="2"/>
  <c r="E14" i="2"/>
  <c r="E15" i="2"/>
  <c r="G15" i="2" s="1"/>
  <c r="E16" i="2"/>
  <c r="G16" i="2" s="1"/>
  <c r="E17" i="2"/>
  <c r="G17" i="2" s="1"/>
  <c r="E18" i="2"/>
  <c r="G18" i="2" s="1"/>
  <c r="E19" i="2"/>
  <c r="G19" i="2" s="1"/>
  <c r="E20" i="2"/>
  <c r="E21" i="2"/>
  <c r="E22" i="2"/>
  <c r="E23" i="2"/>
  <c r="E24" i="2"/>
  <c r="E25" i="2"/>
  <c r="E26" i="2"/>
  <c r="E27" i="2"/>
  <c r="G27" i="2" s="1"/>
  <c r="E28" i="2"/>
  <c r="E29" i="2"/>
  <c r="E30" i="2"/>
  <c r="E31" i="2"/>
  <c r="G31" i="2" s="1"/>
  <c r="E32" i="2"/>
  <c r="G32" i="2" s="1"/>
  <c r="E33" i="2"/>
  <c r="G33" i="2" s="1"/>
  <c r="E34" i="2"/>
  <c r="G34" i="2" s="1"/>
  <c r="E35" i="2"/>
  <c r="G35" i="2" s="1"/>
  <c r="E36" i="2"/>
  <c r="E37" i="2"/>
  <c r="E38" i="2"/>
  <c r="E39" i="2"/>
  <c r="E40" i="2"/>
  <c r="E41" i="2"/>
  <c r="E42" i="2"/>
  <c r="E43" i="2"/>
  <c r="G43" i="2" s="1"/>
  <c r="E44" i="2"/>
  <c r="E45" i="2"/>
  <c r="E46" i="2"/>
  <c r="E47" i="2"/>
  <c r="G47" i="2" s="1"/>
  <c r="E48" i="2"/>
  <c r="G48" i="2" s="1"/>
  <c r="E49" i="2"/>
  <c r="G49" i="2" s="1"/>
  <c r="E50" i="2"/>
  <c r="G50" i="2" s="1"/>
  <c r="E51" i="2"/>
  <c r="G51" i="2" s="1"/>
  <c r="E52" i="2"/>
  <c r="E53" i="2"/>
  <c r="E54" i="2"/>
  <c r="E55" i="2"/>
  <c r="E56" i="2"/>
  <c r="E57" i="2"/>
  <c r="E58" i="2"/>
  <c r="E59" i="2"/>
  <c r="G59" i="2" s="1"/>
  <c r="E60" i="2"/>
  <c r="E61" i="2"/>
  <c r="E62" i="2"/>
  <c r="E63" i="2"/>
  <c r="G63" i="2" s="1"/>
  <c r="E64" i="2"/>
  <c r="G64" i="2" s="1"/>
  <c r="E65" i="2"/>
  <c r="G65" i="2" s="1"/>
  <c r="E66" i="2"/>
  <c r="G66" i="2" s="1"/>
  <c r="E67" i="2"/>
  <c r="G67" i="2" s="1"/>
  <c r="E68" i="2"/>
  <c r="E69" i="2"/>
  <c r="E70" i="2"/>
  <c r="E71" i="2"/>
  <c r="E72" i="2"/>
  <c r="E73" i="2"/>
  <c r="E74" i="2"/>
  <c r="E75" i="2"/>
  <c r="G75" i="2" s="1"/>
  <c r="E76" i="2"/>
  <c r="E77" i="2"/>
  <c r="E78" i="2"/>
  <c r="E79" i="2"/>
  <c r="G79" i="2" s="1"/>
  <c r="E80" i="2"/>
  <c r="G80" i="2" s="1"/>
  <c r="E81" i="2"/>
  <c r="G81" i="2" s="1"/>
  <c r="E82" i="2"/>
  <c r="G82" i="2" s="1"/>
  <c r="E83" i="2"/>
  <c r="G83" i="2" s="1"/>
  <c r="E84" i="2"/>
  <c r="E85" i="2"/>
  <c r="E86" i="2"/>
  <c r="E87" i="2"/>
  <c r="G87" i="2" s="1"/>
  <c r="E88" i="2"/>
  <c r="E89" i="2"/>
  <c r="E90" i="2"/>
  <c r="E91" i="2"/>
  <c r="G91" i="2" s="1"/>
  <c r="E92" i="2"/>
  <c r="E93" i="2"/>
  <c r="E94" i="2"/>
  <c r="E95" i="2"/>
  <c r="G95" i="2" s="1"/>
  <c r="E96" i="2"/>
  <c r="G96" i="2" s="1"/>
  <c r="E97" i="2"/>
  <c r="G97" i="2" s="1"/>
  <c r="E98" i="2"/>
  <c r="G98" i="2" s="1"/>
  <c r="E99" i="2"/>
  <c r="G99" i="2" s="1"/>
  <c r="E100" i="2"/>
  <c r="E101" i="2"/>
  <c r="E102" i="2"/>
  <c r="E103" i="2"/>
  <c r="E104" i="2"/>
  <c r="E105" i="2"/>
  <c r="E106" i="2"/>
  <c r="E107" i="2"/>
  <c r="G107" i="2" s="1"/>
  <c r="E108" i="2"/>
  <c r="E109" i="2"/>
  <c r="E110" i="2"/>
  <c r="E111" i="2"/>
  <c r="G111" i="2" s="1"/>
  <c r="E112" i="2"/>
  <c r="G112" i="2" s="1"/>
  <c r="E113" i="2"/>
  <c r="G113" i="2" s="1"/>
  <c r="E114" i="2"/>
  <c r="G114" i="2" s="1"/>
  <c r="E115" i="2"/>
  <c r="G115" i="2" s="1"/>
  <c r="E116" i="2"/>
  <c r="E117" i="2"/>
  <c r="E118" i="2"/>
  <c r="E119" i="2"/>
  <c r="E120" i="2"/>
  <c r="E121" i="2"/>
  <c r="E122" i="2"/>
  <c r="E123" i="2"/>
  <c r="G123" i="2" s="1"/>
  <c r="E124" i="2"/>
  <c r="E125" i="2"/>
  <c r="E126" i="2"/>
  <c r="E127" i="2"/>
  <c r="G127" i="2" s="1"/>
  <c r="E128" i="2"/>
  <c r="G128" i="2" s="1"/>
  <c r="E129" i="2"/>
  <c r="G129" i="2" s="1"/>
  <c r="E130" i="2"/>
  <c r="G130" i="2" s="1"/>
  <c r="E131" i="2"/>
  <c r="G131" i="2" s="1"/>
  <c r="E132" i="2"/>
  <c r="E133" i="2"/>
  <c r="E134" i="2"/>
  <c r="E135" i="2"/>
  <c r="E136" i="2"/>
  <c r="E137" i="2"/>
  <c r="E138" i="2"/>
  <c r="E139" i="2"/>
  <c r="G139" i="2" s="1"/>
  <c r="E140" i="2"/>
  <c r="E141" i="2"/>
  <c r="E142" i="2"/>
  <c r="E143" i="2"/>
  <c r="G143" i="2" s="1"/>
  <c r="E144" i="2"/>
  <c r="G144" i="2" s="1"/>
  <c r="E145" i="2"/>
  <c r="G145" i="2" s="1"/>
  <c r="E146" i="2"/>
  <c r="G146" i="2" s="1"/>
  <c r="E147" i="2"/>
  <c r="G147" i="2" s="1"/>
  <c r="E148" i="2"/>
  <c r="E149" i="2"/>
  <c r="E150" i="2"/>
  <c r="E151" i="2"/>
  <c r="G151" i="2" s="1"/>
  <c r="E152" i="2"/>
  <c r="E153" i="2"/>
  <c r="E154" i="2"/>
  <c r="E155" i="2"/>
  <c r="G155" i="2" s="1"/>
  <c r="E156" i="2"/>
  <c r="G156" i="2" s="1"/>
  <c r="E157" i="2"/>
  <c r="E158" i="2"/>
  <c r="E159" i="2"/>
  <c r="G159" i="2" s="1"/>
  <c r="E160" i="2"/>
  <c r="G160" i="2" s="1"/>
  <c r="E161" i="2"/>
  <c r="G161" i="2" s="1"/>
  <c r="E162" i="2"/>
  <c r="G162" i="2" s="1"/>
  <c r="E163" i="2"/>
  <c r="G163" i="2" s="1"/>
  <c r="E164" i="2"/>
  <c r="E165" i="2"/>
  <c r="E166" i="2"/>
  <c r="E167" i="2"/>
  <c r="E168" i="2"/>
  <c r="E169" i="2"/>
  <c r="E170" i="2"/>
  <c r="E171" i="2"/>
  <c r="E172" i="2"/>
  <c r="G172" i="2" s="1"/>
  <c r="E173" i="2"/>
  <c r="E174" i="2"/>
  <c r="E175" i="2"/>
  <c r="G175" i="2" s="1"/>
  <c r="E176" i="2"/>
  <c r="G176" i="2" s="1"/>
  <c r="E177" i="2"/>
  <c r="G177" i="2" s="1"/>
  <c r="E178" i="2"/>
  <c r="G178" i="2" s="1"/>
  <c r="E179" i="2"/>
  <c r="G179" i="2" s="1"/>
  <c r="E180" i="2"/>
  <c r="E181" i="2"/>
  <c r="E182" i="2"/>
  <c r="E183" i="2"/>
  <c r="E184" i="2"/>
  <c r="E185" i="2"/>
  <c r="E186" i="2"/>
  <c r="E187" i="2"/>
  <c r="G187" i="2" s="1"/>
  <c r="E188" i="2"/>
  <c r="G188" i="2" s="1"/>
  <c r="E189" i="2"/>
  <c r="E190" i="2"/>
  <c r="E191" i="2"/>
  <c r="G191" i="2" s="1"/>
  <c r="E192" i="2"/>
  <c r="G192" i="2" s="1"/>
  <c r="E193" i="2"/>
  <c r="G193" i="2" s="1"/>
  <c r="E194" i="2"/>
  <c r="G194" i="2" s="1"/>
  <c r="E195" i="2"/>
  <c r="G195" i="2" s="1"/>
  <c r="E196" i="2"/>
  <c r="E197" i="2"/>
  <c r="E198" i="2"/>
  <c r="E199" i="2"/>
  <c r="E200" i="2"/>
  <c r="E201" i="2"/>
  <c r="E202" i="2"/>
  <c r="G202" i="2" s="1"/>
  <c r="E203" i="2"/>
  <c r="G203" i="2" s="1"/>
  <c r="E204" i="2"/>
  <c r="E205" i="2"/>
  <c r="E206" i="2"/>
  <c r="E207" i="2"/>
  <c r="G207" i="2" s="1"/>
  <c r="E208" i="2"/>
  <c r="G208" i="2" s="1"/>
  <c r="E209" i="2"/>
  <c r="G209" i="2" s="1"/>
  <c r="E210" i="2"/>
  <c r="G210" i="2" s="1"/>
  <c r="E211" i="2"/>
  <c r="G211" i="2" s="1"/>
  <c r="E212" i="2"/>
  <c r="E213" i="2"/>
  <c r="E214" i="2"/>
  <c r="E215" i="2"/>
  <c r="G215" i="2" s="1"/>
  <c r="E216" i="2"/>
  <c r="E217" i="2"/>
  <c r="E218" i="2"/>
  <c r="G218" i="2" s="1"/>
  <c r="E219" i="2"/>
  <c r="G219" i="2" s="1"/>
  <c r="E220" i="2"/>
  <c r="G220" i="2" s="1"/>
  <c r="E221" i="2"/>
  <c r="E222" i="2"/>
  <c r="E223" i="2"/>
  <c r="G223" i="2" s="1"/>
  <c r="E224" i="2"/>
  <c r="G224" i="2" s="1"/>
  <c r="E225" i="2"/>
  <c r="G225" i="2" s="1"/>
  <c r="E226" i="2"/>
  <c r="G226" i="2" s="1"/>
  <c r="E227" i="2"/>
  <c r="G227" i="2" s="1"/>
  <c r="E228" i="2"/>
  <c r="E229" i="2"/>
  <c r="E230" i="2"/>
  <c r="E231" i="2"/>
  <c r="E232" i="2"/>
  <c r="E233" i="2"/>
  <c r="E234" i="2"/>
  <c r="G234" i="2" s="1"/>
  <c r="E235" i="2"/>
  <c r="G235" i="2" s="1"/>
  <c r="E236" i="2"/>
  <c r="E237" i="2"/>
  <c r="E238" i="2"/>
  <c r="E239" i="2"/>
  <c r="G239" i="2" s="1"/>
  <c r="E240" i="2"/>
  <c r="G240" i="2" s="1"/>
  <c r="E241" i="2"/>
  <c r="G241" i="2" s="1"/>
  <c r="E242" i="2"/>
  <c r="G242" i="2" s="1"/>
  <c r="E243" i="2"/>
  <c r="G243" i="2" s="1"/>
  <c r="E244" i="2"/>
  <c r="E2" i="2"/>
  <c r="D3" i="2"/>
  <c r="D4" i="2"/>
  <c r="F4" i="2" s="1"/>
  <c r="D5" i="2"/>
  <c r="D6" i="2"/>
  <c r="D7" i="2"/>
  <c r="D8" i="2"/>
  <c r="F8" i="2" s="1"/>
  <c r="D9" i="2"/>
  <c r="F9" i="2" s="1"/>
  <c r="D10" i="2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D19" i="2"/>
  <c r="D20" i="2"/>
  <c r="D21" i="2"/>
  <c r="D22" i="2"/>
  <c r="D23" i="2"/>
  <c r="D24" i="2"/>
  <c r="F24" i="2" s="1"/>
  <c r="D25" i="2"/>
  <c r="F25" i="2" s="1"/>
  <c r="D26" i="2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D35" i="2"/>
  <c r="D36" i="2"/>
  <c r="F36" i="2" s="1"/>
  <c r="D37" i="2"/>
  <c r="D38" i="2"/>
  <c r="D39" i="2"/>
  <c r="D40" i="2"/>
  <c r="F40" i="2" s="1"/>
  <c r="D41" i="2"/>
  <c r="F41" i="2" s="1"/>
  <c r="D42" i="2"/>
  <c r="D43" i="2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D51" i="2"/>
  <c r="D52" i="2"/>
  <c r="F54" i="2"/>
  <c r="F55" i="2"/>
  <c r="F56" i="2"/>
  <c r="F57" i="2"/>
  <c r="F61" i="2"/>
  <c r="F62" i="2"/>
  <c r="F63" i="2"/>
  <c r="D68" i="2"/>
  <c r="F68" i="2" s="1"/>
  <c r="D69" i="2"/>
  <c r="F69" i="2" s="1"/>
  <c r="D70" i="2"/>
  <c r="F70" i="2" s="1"/>
  <c r="D71" i="2"/>
  <c r="F71" i="2" s="1"/>
  <c r="D72" i="2"/>
  <c r="F72" i="2" s="1"/>
  <c r="D73" i="2"/>
  <c r="D74" i="2"/>
  <c r="D75" i="2"/>
  <c r="D76" i="2"/>
  <c r="F76" i="2" s="1"/>
  <c r="D77" i="2"/>
  <c r="F77" i="2" s="1"/>
  <c r="D78" i="2"/>
  <c r="F78" i="2" s="1"/>
  <c r="D79" i="2"/>
  <c r="F79" i="2" s="1"/>
  <c r="D80" i="2"/>
  <c r="D81" i="2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D91" i="2"/>
  <c r="D92" i="2"/>
  <c r="F92" i="2" s="1"/>
  <c r="D93" i="2"/>
  <c r="F93" i="2" s="1"/>
  <c r="D94" i="2"/>
  <c r="F94" i="2" s="1"/>
  <c r="D95" i="2"/>
  <c r="F95" i="2" s="1"/>
  <c r="D96" i="2"/>
  <c r="D97" i="2"/>
  <c r="F97" i="2" s="1"/>
  <c r="D98" i="2"/>
  <c r="F98" i="2" s="1"/>
  <c r="D99" i="2"/>
  <c r="F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D107" i="2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D129" i="2"/>
  <c r="F129" i="2" s="1"/>
  <c r="D130" i="2"/>
  <c r="F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38" i="2"/>
  <c r="D139" i="2"/>
  <c r="F139" i="2" s="1"/>
  <c r="D140" i="2"/>
  <c r="F140" i="2" s="1"/>
  <c r="D141" i="2"/>
  <c r="F141" i="2" s="1"/>
  <c r="D142" i="2"/>
  <c r="F142" i="2" s="1"/>
  <c r="D143" i="2"/>
  <c r="F143" i="2" s="1"/>
  <c r="D144" i="2"/>
  <c r="D145" i="2"/>
  <c r="F145" i="2" s="1"/>
  <c r="D146" i="2"/>
  <c r="F146" i="2" s="1"/>
  <c r="D147" i="2"/>
  <c r="F147" i="2" s="1"/>
  <c r="D148" i="2"/>
  <c r="F148" i="2" s="1"/>
  <c r="D149" i="2"/>
  <c r="F149" i="2" s="1"/>
  <c r="D150" i="2"/>
  <c r="F150" i="2" s="1"/>
  <c r="D151" i="2"/>
  <c r="F151" i="2" s="1"/>
  <c r="D152" i="2"/>
  <c r="F152" i="2" s="1"/>
  <c r="D153" i="2"/>
  <c r="F153" i="2" s="1"/>
  <c r="D154" i="2"/>
  <c r="D155" i="2"/>
  <c r="D156" i="2"/>
  <c r="F156" i="2" s="1"/>
  <c r="D157" i="2"/>
  <c r="F157" i="2" s="1"/>
  <c r="D158" i="2"/>
  <c r="F158" i="2" s="1"/>
  <c r="D159" i="2"/>
  <c r="F159" i="2" s="1"/>
  <c r="D160" i="2"/>
  <c r="D161" i="2"/>
  <c r="F161" i="2" s="1"/>
  <c r="D162" i="2"/>
  <c r="F162" i="2" s="1"/>
  <c r="D163" i="2"/>
  <c r="F163" i="2" s="1"/>
  <c r="D164" i="2"/>
  <c r="F164" i="2" s="1"/>
  <c r="D165" i="2"/>
  <c r="F165" i="2" s="1"/>
  <c r="D166" i="2"/>
  <c r="F166" i="2" s="1"/>
  <c r="D167" i="2"/>
  <c r="F167" i="2" s="1"/>
  <c r="D168" i="2"/>
  <c r="F168" i="2" s="1"/>
  <c r="D169" i="2"/>
  <c r="F169" i="2" s="1"/>
  <c r="D170" i="2"/>
  <c r="D171" i="2"/>
  <c r="D172" i="2"/>
  <c r="F172" i="2" s="1"/>
  <c r="D173" i="2"/>
  <c r="F173" i="2" s="1"/>
  <c r="D174" i="2"/>
  <c r="F174" i="2" s="1"/>
  <c r="D175" i="2"/>
  <c r="F175" i="2" s="1"/>
  <c r="D176" i="2"/>
  <c r="D177" i="2"/>
  <c r="F177" i="2" s="1"/>
  <c r="D178" i="2"/>
  <c r="F178" i="2" s="1"/>
  <c r="D179" i="2"/>
  <c r="F179" i="2" s="1"/>
  <c r="D180" i="2"/>
  <c r="F180" i="2" s="1"/>
  <c r="D181" i="2"/>
  <c r="F181" i="2" s="1"/>
  <c r="D182" i="2"/>
  <c r="F182" i="2" s="1"/>
  <c r="D183" i="2"/>
  <c r="F183" i="2" s="1"/>
  <c r="D184" i="2"/>
  <c r="F184" i="2" s="1"/>
  <c r="D185" i="2"/>
  <c r="F185" i="2" s="1"/>
  <c r="D186" i="2"/>
  <c r="D187" i="2"/>
  <c r="D188" i="2"/>
  <c r="F188" i="2" s="1"/>
  <c r="D189" i="2"/>
  <c r="F189" i="2" s="1"/>
  <c r="D190" i="2"/>
  <c r="F190" i="2" s="1"/>
  <c r="D191" i="2"/>
  <c r="F191" i="2" s="1"/>
  <c r="D192" i="2"/>
  <c r="D193" i="2"/>
  <c r="F193" i="2" s="1"/>
  <c r="D194" i="2"/>
  <c r="F194" i="2" s="1"/>
  <c r="D195" i="2"/>
  <c r="F195" i="2" s="1"/>
  <c r="D196" i="2"/>
  <c r="F196" i="2" s="1"/>
  <c r="D197" i="2"/>
  <c r="F197" i="2" s="1"/>
  <c r="D198" i="2"/>
  <c r="F198" i="2" s="1"/>
  <c r="D199" i="2"/>
  <c r="F199" i="2" s="1"/>
  <c r="D200" i="2"/>
  <c r="D201" i="2"/>
  <c r="F201" i="2" s="1"/>
  <c r="D202" i="2"/>
  <c r="D203" i="2"/>
  <c r="D204" i="2"/>
  <c r="F204" i="2" s="1"/>
  <c r="D205" i="2"/>
  <c r="F205" i="2" s="1"/>
  <c r="D206" i="2"/>
  <c r="F206" i="2" s="1"/>
  <c r="D207" i="2"/>
  <c r="F207" i="2" s="1"/>
  <c r="D208" i="2"/>
  <c r="D209" i="2"/>
  <c r="F209" i="2" s="1"/>
  <c r="D210" i="2"/>
  <c r="F210" i="2" s="1"/>
  <c r="D211" i="2"/>
  <c r="F211" i="2" s="1"/>
  <c r="D212" i="2"/>
  <c r="F212" i="2" s="1"/>
  <c r="D213" i="2"/>
  <c r="F213" i="2" s="1"/>
  <c r="D214" i="2"/>
  <c r="F214" i="2" s="1"/>
  <c r="D215" i="2"/>
  <c r="F215" i="2" s="1"/>
  <c r="D216" i="2"/>
  <c r="F216" i="2" s="1"/>
  <c r="D217" i="2"/>
  <c r="F217" i="2" s="1"/>
  <c r="D218" i="2"/>
  <c r="D219" i="2"/>
  <c r="F219" i="2" s="1"/>
  <c r="D220" i="2"/>
  <c r="F220" i="2" s="1"/>
  <c r="D221" i="2"/>
  <c r="F221" i="2" s="1"/>
  <c r="D222" i="2"/>
  <c r="F222" i="2" s="1"/>
  <c r="D223" i="2"/>
  <c r="F223" i="2" s="1"/>
  <c r="D224" i="2"/>
  <c r="F224" i="2" s="1"/>
  <c r="D225" i="2"/>
  <c r="F225" i="2" s="1"/>
  <c r="D226" i="2"/>
  <c r="F226" i="2" s="1"/>
  <c r="D227" i="2"/>
  <c r="F227" i="2" s="1"/>
  <c r="D228" i="2"/>
  <c r="F228" i="2" s="1"/>
  <c r="D229" i="2"/>
  <c r="F229" i="2" s="1"/>
  <c r="D230" i="2"/>
  <c r="F230" i="2" s="1"/>
  <c r="D231" i="2"/>
  <c r="F231" i="2" s="1"/>
  <c r="D232" i="2"/>
  <c r="F232" i="2" s="1"/>
  <c r="D233" i="2"/>
  <c r="F233" i="2" s="1"/>
  <c r="D234" i="2"/>
  <c r="D235" i="2"/>
  <c r="D236" i="2"/>
  <c r="F236" i="2" s="1"/>
  <c r="D237" i="2"/>
  <c r="F237" i="2" s="1"/>
  <c r="D238" i="2"/>
  <c r="F238" i="2" s="1"/>
  <c r="D239" i="2"/>
  <c r="F239" i="2" s="1"/>
  <c r="D240" i="2"/>
  <c r="D241" i="2"/>
  <c r="F241" i="2" s="1"/>
  <c r="D242" i="2"/>
  <c r="F242" i="2" s="1"/>
  <c r="D243" i="2"/>
  <c r="F243" i="2" s="1"/>
  <c r="D244" i="2"/>
  <c r="F244" i="2" s="1"/>
  <c r="D2" i="2"/>
  <c r="F2" i="2" s="1"/>
  <c r="G14" i="2"/>
  <c r="G62" i="2"/>
  <c r="G120" i="2"/>
  <c r="G152" i="2"/>
  <c r="G168" i="2"/>
  <c r="G184" i="2"/>
  <c r="G200" i="2"/>
  <c r="G216" i="2"/>
  <c r="G232" i="2"/>
  <c r="G236" i="2"/>
  <c r="G2" i="2"/>
  <c r="F3" i="2"/>
  <c r="G4" i="2"/>
  <c r="F5" i="2"/>
  <c r="G5" i="2"/>
  <c r="F6" i="2"/>
  <c r="G6" i="2"/>
  <c r="F7" i="2"/>
  <c r="G7" i="2"/>
  <c r="G8" i="2"/>
  <c r="G9" i="2"/>
  <c r="F10" i="2"/>
  <c r="G10" i="2"/>
  <c r="G12" i="2"/>
  <c r="G13" i="2"/>
  <c r="F18" i="2"/>
  <c r="F19" i="2"/>
  <c r="F20" i="2"/>
  <c r="G20" i="2"/>
  <c r="F21" i="2"/>
  <c r="G21" i="2"/>
  <c r="F22" i="2"/>
  <c r="G22" i="2"/>
  <c r="F23" i="2"/>
  <c r="G23" i="2"/>
  <c r="G24" i="2"/>
  <c r="G25" i="2"/>
  <c r="F26" i="2"/>
  <c r="G26" i="2"/>
  <c r="G28" i="2"/>
  <c r="G29" i="2"/>
  <c r="G30" i="2"/>
  <c r="F34" i="2"/>
  <c r="F35" i="2"/>
  <c r="G36" i="2"/>
  <c r="F37" i="2"/>
  <c r="G37" i="2"/>
  <c r="F38" i="2"/>
  <c r="G38" i="2"/>
  <c r="F39" i="2"/>
  <c r="G39" i="2"/>
  <c r="G40" i="2"/>
  <c r="G41" i="2"/>
  <c r="F42" i="2"/>
  <c r="G42" i="2"/>
  <c r="F43" i="2"/>
  <c r="G44" i="2"/>
  <c r="G45" i="2"/>
  <c r="G46" i="2"/>
  <c r="F50" i="2"/>
  <c r="F51" i="2"/>
  <c r="F52" i="2"/>
  <c r="G52" i="2"/>
  <c r="G53" i="2"/>
  <c r="G54" i="2"/>
  <c r="G55" i="2"/>
  <c r="G56" i="2"/>
  <c r="G57" i="2"/>
  <c r="F58" i="2"/>
  <c r="G58" i="2"/>
  <c r="G60" i="2"/>
  <c r="G61" i="2"/>
  <c r="G68" i="2"/>
  <c r="G69" i="2"/>
  <c r="G70" i="2"/>
  <c r="G71" i="2"/>
  <c r="G72" i="2"/>
  <c r="F73" i="2"/>
  <c r="G73" i="2"/>
  <c r="F74" i="2"/>
  <c r="G74" i="2"/>
  <c r="F75" i="2"/>
  <c r="G76" i="2"/>
  <c r="G77" i="2"/>
  <c r="G78" i="2"/>
  <c r="F80" i="2"/>
  <c r="F81" i="2"/>
  <c r="G84" i="2"/>
  <c r="G85" i="2"/>
  <c r="G86" i="2"/>
  <c r="G88" i="2"/>
  <c r="G89" i="2"/>
  <c r="F90" i="2"/>
  <c r="G90" i="2"/>
  <c r="F91" i="2"/>
  <c r="G92" i="2"/>
  <c r="G93" i="2"/>
  <c r="G94" i="2"/>
  <c r="F96" i="2"/>
  <c r="G100" i="2"/>
  <c r="G101" i="2"/>
  <c r="G102" i="2"/>
  <c r="G103" i="2"/>
  <c r="G104" i="2"/>
  <c r="G105" i="2"/>
  <c r="F106" i="2"/>
  <c r="G106" i="2"/>
  <c r="F107" i="2"/>
  <c r="G108" i="2"/>
  <c r="G109" i="2"/>
  <c r="G110" i="2"/>
  <c r="G116" i="2"/>
  <c r="G117" i="2"/>
  <c r="G118" i="2"/>
  <c r="G119" i="2"/>
  <c r="G121" i="2"/>
  <c r="F122" i="2"/>
  <c r="G122" i="2"/>
  <c r="G124" i="2"/>
  <c r="G125" i="2"/>
  <c r="G126" i="2"/>
  <c r="F128" i="2"/>
  <c r="G132" i="2"/>
  <c r="G133" i="2"/>
  <c r="G134" i="2"/>
  <c r="G135" i="2"/>
  <c r="G136" i="2"/>
  <c r="G137" i="2"/>
  <c r="F138" i="2"/>
  <c r="G138" i="2"/>
  <c r="G140" i="2"/>
  <c r="G141" i="2"/>
  <c r="G142" i="2"/>
  <c r="F144" i="2"/>
  <c r="G148" i="2"/>
  <c r="G149" i="2"/>
  <c r="G150" i="2"/>
  <c r="G153" i="2"/>
  <c r="F154" i="2"/>
  <c r="G154" i="2"/>
  <c r="F155" i="2"/>
  <c r="G157" i="2"/>
  <c r="G158" i="2"/>
  <c r="F160" i="2"/>
  <c r="G164" i="2"/>
  <c r="G165" i="2"/>
  <c r="G166" i="2"/>
  <c r="G167" i="2"/>
  <c r="G169" i="2"/>
  <c r="F170" i="2"/>
  <c r="G170" i="2"/>
  <c r="F171" i="2"/>
  <c r="G171" i="2"/>
  <c r="G173" i="2"/>
  <c r="G174" i="2"/>
  <c r="F176" i="2"/>
  <c r="G180" i="2"/>
  <c r="G181" i="2"/>
  <c r="G182" i="2"/>
  <c r="G183" i="2"/>
  <c r="G185" i="2"/>
  <c r="F186" i="2"/>
  <c r="G186" i="2"/>
  <c r="F187" i="2"/>
  <c r="G189" i="2"/>
  <c r="G190" i="2"/>
  <c r="F192" i="2"/>
  <c r="G196" i="2"/>
  <c r="G197" i="2"/>
  <c r="G198" i="2"/>
  <c r="G199" i="2"/>
  <c r="F200" i="2"/>
  <c r="G201" i="2"/>
  <c r="F202" i="2"/>
  <c r="F203" i="2"/>
  <c r="G204" i="2"/>
  <c r="G205" i="2"/>
  <c r="G206" i="2"/>
  <c r="F208" i="2"/>
  <c r="G212" i="2"/>
  <c r="G213" i="2"/>
  <c r="G214" i="2"/>
  <c r="G217" i="2"/>
  <c r="F218" i="2"/>
  <c r="G221" i="2"/>
  <c r="G222" i="2"/>
  <c r="G228" i="2"/>
  <c r="G229" i="2"/>
  <c r="G230" i="2"/>
  <c r="G231" i="2"/>
  <c r="G233" i="2"/>
  <c r="F234" i="2"/>
  <c r="F235" i="2"/>
  <c r="G237" i="2"/>
  <c r="G238" i="2"/>
  <c r="F240" i="2"/>
  <c r="G244" i="2"/>
</calcChain>
</file>

<file path=xl/sharedStrings.xml><?xml version="1.0" encoding="utf-8"?>
<sst xmlns="http://schemas.openxmlformats.org/spreadsheetml/2006/main" count="756" uniqueCount="270">
  <si>
    <t>Service</t>
  </si>
  <si>
    <t>Sitelink Description 1</t>
  </si>
  <si>
    <t>Sitelink Description 2</t>
  </si>
  <si>
    <t>Welding &amp; Custom Metal Work</t>
  </si>
  <si>
    <t>Gate, railing and metal repairs (31)</t>
  </si>
  <si>
    <t>Custom welding built to fit (27)</t>
  </si>
  <si>
    <t>Electrical Work</t>
  </si>
  <si>
    <t>Outlets, switches and fixtures (30)</t>
  </si>
  <si>
    <t>Troubleshooting and small repairs (33)</t>
  </si>
  <si>
    <t>Doors &amp; Security Doors</t>
  </si>
  <si>
    <t>Fix doors that stick, sag or drag (33)</t>
  </si>
  <si>
    <t>Hinges, locks and security doors (32)</t>
  </si>
  <si>
    <t>Plumbing Specialties</t>
  </si>
  <si>
    <t>Faucets, toilets and leak repairs (33)</t>
  </si>
  <si>
    <t>Clean installs with clear pricing (33)</t>
  </si>
  <si>
    <t>Tankless Water Heater Descaling</t>
  </si>
  <si>
    <t>Flush buildup from your system (30)</t>
  </si>
  <si>
    <t>Help restore flow and efficiency (32)</t>
  </si>
  <si>
    <t>Drywall Repair</t>
  </si>
  <si>
    <t>Patch holes, walls and ceilings (31)</t>
  </si>
  <si>
    <t>Texture blended and paint-ready (31)</t>
  </si>
  <si>
    <t>Move-In &amp; Punch List Work</t>
  </si>
  <si>
    <t>Bundle several repairs in one visit (35)</t>
  </si>
  <si>
    <t>Move-in, turnover and fix-up work (33)</t>
  </si>
  <si>
    <t>keyword</t>
  </si>
  <si>
    <t>[mobile welding san diego]</t>
  </si>
  <si>
    <t>"mobile welding san diego"</t>
  </si>
  <si>
    <t>[gate repair welding]</t>
  </si>
  <si>
    <t>"gate welding repair"</t>
  </si>
  <si>
    <t>[metal fence repair]</t>
  </si>
  <si>
    <t>"metal railing repair"</t>
  </si>
  <si>
    <t>[handrail welding repair]</t>
  </si>
  <si>
    <t>"security door welding"</t>
  </si>
  <si>
    <t>[custom metal fabrication]</t>
  </si>
  <si>
    <t>"custom metal repair"</t>
  </si>
  <si>
    <t>[welding repair near me]</t>
  </si>
  <si>
    <t>"small welding jobs"</t>
  </si>
  <si>
    <t>[bracket fabrication]</t>
  </si>
  <si>
    <t>"custom steel brackets"</t>
  </si>
  <si>
    <t>[gate hinge welding]</t>
  </si>
  <si>
    <t>"fence welding repair"</t>
  </si>
  <si>
    <t>headline</t>
  </si>
  <si>
    <t>Mobile Welding San Diego</t>
  </si>
  <si>
    <t>Gate And Fence Welding</t>
  </si>
  <si>
    <t>Custom Metal Repair</t>
  </si>
  <si>
    <t>Handrail Welding Repair</t>
  </si>
  <si>
    <t>Broken Gate Weld Repair</t>
  </si>
  <si>
    <t>On-Site Welding Service</t>
  </si>
  <si>
    <t>Custom Brackets Made</t>
  </si>
  <si>
    <t>Security Door Welding</t>
  </si>
  <si>
    <t>Metal Railing Repairs</t>
  </si>
  <si>
    <t>Small Fabrication Jobs</t>
  </si>
  <si>
    <t>Repair Or Rebuild Metal</t>
  </si>
  <si>
    <t>Clean Strong Weld Repairs</t>
  </si>
  <si>
    <t>Local Welder For Small Jobs</t>
  </si>
  <si>
    <t>Send Photos For A Quote</t>
  </si>
  <si>
    <t>Handyman Grant Welding</t>
  </si>
  <si>
    <t>description</t>
  </si>
  <si>
    <t>Mobile welding for gates, railings, security doors, brackets, and custom metal repairs.</t>
  </si>
  <si>
    <t>Send photos of the failed part for a clear repair, reinforcement, or fabrication plan.</t>
  </si>
  <si>
    <t>Practical metal repairs and custom builds with thoughtful fit, finish, and execution.</t>
  </si>
  <si>
    <t>Serving San Diego with honest estimates, clear communication, and skilled welding work.</t>
  </si>
  <si>
    <t>[electrical repair san diego]</t>
  </si>
  <si>
    <t>"electrical handyman san diego"</t>
  </si>
  <si>
    <t>[gfci outlet repair]</t>
  </si>
  <si>
    <t>"gfci outlet replacement"</t>
  </si>
  <si>
    <t>[outlet repair near me]</t>
  </si>
  <si>
    <t>"dead outlet repair"</t>
  </si>
  <si>
    <t>[light switch repair]</t>
  </si>
  <si>
    <t>"replace light switch"</t>
  </si>
  <si>
    <t>[light fixture installation]</t>
  </si>
  <si>
    <t>"ceiling fan installation"</t>
  </si>
  <si>
    <t>[electrical troubleshooting]</t>
  </si>
  <si>
    <t>"bathroom gfci upgrade"</t>
  </si>
  <si>
    <t>[kitchen outlet repair]</t>
  </si>
  <si>
    <t>"handyman electrical repair"</t>
  </si>
  <si>
    <t>[outlet and switch repair]</t>
  </si>
  <si>
    <t>"fixture installation san diego"</t>
  </si>
  <si>
    <t>Electrical Repair San Diego</t>
  </si>
  <si>
    <t>GFCI Outlet Repair</t>
  </si>
  <si>
    <t>Outlet And Switch Repair</t>
  </si>
  <si>
    <t>Electrical Troubleshooting</t>
  </si>
  <si>
    <t>Light Fixture Installation</t>
  </si>
  <si>
    <t>Ceiling Fan Installation</t>
  </si>
  <si>
    <t>Fix Dead Outlets</t>
  </si>
  <si>
    <t>Replace Old Switches</t>
  </si>
  <si>
    <t>Bathroom GFCI Upgrades</t>
  </si>
  <si>
    <t>Kitchen Outlet Repairs</t>
  </si>
  <si>
    <t>Careful Electrical Repairs</t>
  </si>
  <si>
    <t>Clean Fixture Upgrades</t>
  </si>
  <si>
    <t>Same-Week Electrical Help</t>
  </si>
  <si>
    <t>Handyman Grant Electrical</t>
  </si>
  <si>
    <t>Troubleshooting, GFCI upgrades, outlets, switches, fixtures, and ceiling fan installs.</t>
  </si>
  <si>
    <t>Careful electrical work with clear explanations, tidy connections, and thorough testing.</t>
  </si>
  <si>
    <t>Have a dead outlet or problem switch? Send photos and describe what is happening.</t>
  </si>
  <si>
    <t>Serving San Diego with honest estimates and practical solutions for electrical repairs.</t>
  </si>
  <si>
    <t>[door repair san diego]</t>
  </si>
  <si>
    <t>"door repair san diego"</t>
  </si>
  <si>
    <t>[fix sticking door]</t>
  </si>
  <si>
    <t>"door won't latch"</t>
  </si>
  <si>
    <t>[sagging door repair]</t>
  </si>
  <si>
    <t>"door hinge repair"</t>
  </si>
  <si>
    <t>[door alignment repair]</t>
  </si>
  <si>
    <t>"door rubs frame"</t>
  </si>
  <si>
    <t>[security door repair]</t>
  </si>
  <si>
    <t>"door slab installation"</t>
  </si>
  <si>
    <t>[deadbolt installation]</t>
  </si>
  <si>
    <t>"lock installation handyman"</t>
  </si>
  <si>
    <t>[weatherstripping replacement]</t>
  </si>
  <si>
    <t>"exterior door repair"</t>
  </si>
  <si>
    <t>[interior door repair]</t>
  </si>
  <si>
    <t>"door closer repair"</t>
  </si>
  <si>
    <t>Door Repair San Diego</t>
  </si>
  <si>
    <t>Fix Sticking Doors</t>
  </si>
  <si>
    <t>Door Won't Latch?</t>
  </si>
  <si>
    <t>Sagging Door Repair</t>
  </si>
  <si>
    <t>Door Hinge And Latch Repair</t>
  </si>
  <si>
    <t>Interior Door Repair</t>
  </si>
  <si>
    <t>Exterior Door Repair</t>
  </si>
  <si>
    <t>Security Door Repair</t>
  </si>
  <si>
    <t>Door Slab Installation</t>
  </si>
  <si>
    <t>Lock And Deadbolt Install</t>
  </si>
  <si>
    <t>Weatherstripping Repair</t>
  </si>
  <si>
    <t>Fix Doors That Rub</t>
  </si>
  <si>
    <t>Smooth Quiet Door Operation</t>
  </si>
  <si>
    <t>Send Door Photos For Quote</t>
  </si>
  <si>
    <t>Handyman Grant Door Repair</t>
  </si>
  <si>
    <t>Repair sticking, sagging, rubbing, and hard-to-latch doors throughout San Diego.</t>
  </si>
  <si>
    <t>Door slabs, hinges, latches, locks, closers, weatherstripping, and security door work.</t>
  </si>
  <si>
    <t>Send photos of the door, hinges, and gaps for a faster diagnosis and clearer estimate.</t>
  </si>
  <si>
    <t>Careful fitting focused on smooth operation, clean reveals, and solid hardware.</t>
  </si>
  <si>
    <t>[plumbing repair san diego]</t>
  </si>
  <si>
    <t>"handyman plumbing san diego"</t>
  </si>
  <si>
    <t>[faucet installation]</t>
  </si>
  <si>
    <t>"faucet replacement near me"</t>
  </si>
  <si>
    <t>[toilet installation]</t>
  </si>
  <si>
    <t>"toilet replacement handyman"</t>
  </si>
  <si>
    <t>[garbage disposal install]</t>
  </si>
  <si>
    <t>"garbage disposal replacement"</t>
  </si>
  <si>
    <t>[supply line replacement]</t>
  </si>
  <si>
    <t>"shutoff valve repair"</t>
  </si>
  <si>
    <t>[sink trap repair]</t>
  </si>
  <si>
    <t>"leaky faucet repair"</t>
  </si>
  <si>
    <t>[small plumbing repair]</t>
  </si>
  <si>
    <t>"bathroom fixture installation"</t>
  </si>
  <si>
    <t>[kitchen plumbing repair]</t>
  </si>
  <si>
    <t>"toilet repair san diego"</t>
  </si>
  <si>
    <t>Plumbing Repair San Diego</t>
  </si>
  <si>
    <t>Faucet Installation</t>
  </si>
  <si>
    <t>Toilet Installation</t>
  </si>
  <si>
    <t>Garbage Disposal Install</t>
  </si>
  <si>
    <t>Fix Leaky Faucets</t>
  </si>
  <si>
    <t>Supply Line Replacement</t>
  </si>
  <si>
    <t>Shutoff Valve Repair</t>
  </si>
  <si>
    <t>Sink And Toilet Repairs</t>
  </si>
  <si>
    <t>Plumbing Fixture Upgrades</t>
  </si>
  <si>
    <t>Clean Leak-Free Installs</t>
  </si>
  <si>
    <t>Kitchen Plumbing Repairs</t>
  </si>
  <si>
    <t>Bathroom Plumbing Repairs</t>
  </si>
  <si>
    <t>Small Plumbing Jobs</t>
  </si>
  <si>
    <t>Send Plumbing Photos</t>
  </si>
  <si>
    <t>Handyman Grant Plumbing</t>
  </si>
  <si>
    <t>Faucets, toilets, disposals, supply lines, shutoffs, traps, and common plumbing repairs.</t>
  </si>
  <si>
    <t>Clean fixture installations with careful connections, leak checks, and tidy cleanup.</t>
  </si>
  <si>
    <t>Send photos under the sink or around the fixture for a faster diagnosis and estimate.</t>
  </si>
  <si>
    <t>Serving San Diego with practical plumbing solutions and clear pricing before work begins.</t>
  </si>
  <si>
    <t>[tankless descaling san diego]</t>
  </si>
  <si>
    <t>"tankless water heater flush"</t>
  </si>
  <si>
    <t>[tankless heater maintenance]</t>
  </si>
  <si>
    <t>"tankless descaling service"</t>
  </si>
  <si>
    <t>[flush tankless water heater]</t>
  </si>
  <si>
    <t>"tankless water heater cleaning"</t>
  </si>
  <si>
    <t>[tankless service near me]</t>
  </si>
  <si>
    <t>"annual tankless maintenance"</t>
  </si>
  <si>
    <t>[navien descaling service]</t>
  </si>
  <si>
    <t>"rinnai tankless flush"</t>
  </si>
  <si>
    <t>[noritz tankless maintenance]</t>
  </si>
  <si>
    <t>"tankless mineral buildup"</t>
  </si>
  <si>
    <t>[tankless hot water low flow]</t>
  </si>
  <si>
    <t>"tankless water heater service"</t>
  </si>
  <si>
    <t>Tankless Descaling San Diego</t>
  </si>
  <si>
    <t>Tankless Water Heater Flush</t>
  </si>
  <si>
    <t>Restore Tankless Performance</t>
  </si>
  <si>
    <t>Annual Tankless Maintenance</t>
  </si>
  <si>
    <t>Flush Mineral Buildup</t>
  </si>
  <si>
    <t>Improve Hot Water Flow</t>
  </si>
  <si>
    <t>Tankless Heater Service</t>
  </si>
  <si>
    <t>Clean Tankless Water Heater</t>
  </si>
  <si>
    <t>Protect Your Tankless System</t>
  </si>
  <si>
    <t>Professional System Flush</t>
  </si>
  <si>
    <t>Tankless Maintenance Visit</t>
  </si>
  <si>
    <t>Descale Your Water Heater</t>
  </si>
  <si>
    <t>Clear Tankless Service Price</t>
  </si>
  <si>
    <t>Schedule A Tankless Flush</t>
  </si>
  <si>
    <t>Handyman Grant Tankless</t>
  </si>
  <si>
    <t>Professional tankless descaling, flushing, filter cleaning, and performance checks.</t>
  </si>
  <si>
    <t>Remove mineral buildup that can reduce flow, efficiency, and reliable hot water delivery.</t>
  </si>
  <si>
    <t>Clean service using proper flush equipment, followed by a system check and walkthrough.</t>
  </si>
  <si>
    <t>Schedule routine tankless maintenance in San Diego with clear pricing before the visit.</t>
  </si>
  <si>
    <t>[drywall repair san diego]</t>
  </si>
  <si>
    <t>"drywall repair san diego"</t>
  </si>
  <si>
    <t>[hole in wall repair]</t>
  </si>
  <si>
    <t>"drywall patch near me"</t>
  </si>
  <si>
    <t>[ceiling drywall repair]</t>
  </si>
  <si>
    <t>"ceiling patch repair"</t>
  </si>
  <si>
    <t>[texture matching drywall]</t>
  </si>
  <si>
    <t>"wall texture repair"</t>
  </si>
  <si>
    <t>[drywall access hole repair]</t>
  </si>
  <si>
    <t>"doorknob hole repair"</t>
  </si>
  <si>
    <t>[small drywall repair]</t>
  </si>
  <si>
    <t>"patch and paint drywall"</t>
  </si>
  <si>
    <t>[drywall crack repair]</t>
  </si>
  <si>
    <t>"wall patch handyman"</t>
  </si>
  <si>
    <t>[ceiling texture repair]</t>
  </si>
  <si>
    <t>"drywall repair near me"</t>
  </si>
  <si>
    <t>Drywall Repair San Diego</t>
  </si>
  <si>
    <t>Hole In Wall Repair</t>
  </si>
  <si>
    <t>Ceiling Drywall Repair</t>
  </si>
  <si>
    <t>Texture Matching Repair</t>
  </si>
  <si>
    <t>Patch And Paint Drywall</t>
  </si>
  <si>
    <t>Repair Access Holes</t>
  </si>
  <si>
    <t>Doorknob Hole Repair</t>
  </si>
  <si>
    <t>Wall And Ceiling Patches</t>
  </si>
  <si>
    <t>Clean Drywall Finishing</t>
  </si>
  <si>
    <t>Drywall Damage Repaired</t>
  </si>
  <si>
    <t>Blend Patches Into The Wall</t>
  </si>
  <si>
    <t>Small Drywall Jobs</t>
  </si>
  <si>
    <t>Same-Week Drywall Repair</t>
  </si>
  <si>
    <t>Handyman Grant Drywall</t>
  </si>
  <si>
    <t>Drywall and ceiling patches, access cuts, holes, texture blending, and touch-up paint.</t>
  </si>
  <si>
    <t>Careful repairs built in layers, sanded cleanly, and finished to blend into the room.</t>
  </si>
  <si>
    <t>Send wide and close photos of the damage for a clearer scope and faster estimate.</t>
  </si>
  <si>
    <t>Serving San Diego with tidy prep, protected surfaces, and professional drywall finishing.</t>
  </si>
  <si>
    <t>[punch list repairs san diego]</t>
  </si>
  <si>
    <t>"handyman punch list"</t>
  </si>
  <si>
    <t>[move in repairs]</t>
  </si>
  <si>
    <t>"move out repairs handyman"</t>
  </si>
  <si>
    <t>[rental turnover repairs]</t>
  </si>
  <si>
    <t>"landlord handyman san diego"</t>
  </si>
  <si>
    <t>[multiple small repairs]</t>
  </si>
  <si>
    <t>"one visit handyman"</t>
  </si>
  <si>
    <t>[home repair list]</t>
  </si>
  <si>
    <t>"condo punch list"</t>
  </si>
  <si>
    <t>[pre sale home repairs]</t>
  </si>
  <si>
    <t>"property maintenance handyman"</t>
  </si>
  <si>
    <t>[small jobs handyman]</t>
  </si>
  <si>
    <t>"fix it list service"</t>
  </si>
  <si>
    <t>[rental property repairs]</t>
  </si>
  <si>
    <t>"home inspection repair list"</t>
  </si>
  <si>
    <t>Punch List Repairs San Diego</t>
  </si>
  <si>
    <t>Move-In Repair Service</t>
  </si>
  <si>
    <t>Multiple Repairs One Visit</t>
  </si>
  <si>
    <t>Rental Turnover Repairs</t>
  </si>
  <si>
    <t>Home Fix-It List Help</t>
  </si>
  <si>
    <t>Condo Punch List Repairs</t>
  </si>
  <si>
    <t>Move-Out Repair Help</t>
  </si>
  <si>
    <t>Landlord Repair Service</t>
  </si>
  <si>
    <t>Small Jobs Done Efficiently</t>
  </si>
  <si>
    <t>Doors Drywall Caulk More</t>
  </si>
  <si>
    <t>Finish Your Home Repair List</t>
  </si>
  <si>
    <t>One Visit For Several Fixes</t>
  </si>
  <si>
    <t>Send Your List And Photos</t>
  </si>
  <si>
    <t>Clear Itemized Estimate</t>
  </si>
  <si>
    <t>Handyman Grant Punch List</t>
  </si>
  <si>
    <t>Bundle doors, drywall, caulking, hardware, mounting, and small repairs in one visit.</t>
  </si>
  <si>
    <t>Great for move-ins, rental turnovers, landlords, homeowners, and pre-sale fix-up lists.</t>
  </si>
  <si>
    <t>Send a numbered list with photos so every item can be scoped and priced clearly.</t>
  </si>
  <si>
    <t>Efficient, organized repair visits with itemized estimates and a final walkthrough.</t>
  </si>
  <si>
    <t>copy type</t>
  </si>
  <si>
    <t>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</si>
</sst>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4340-2BB2-4BF0-AEAB-2365308C2CB5}">
  <dimension ref="A1:C8"/>
  <sheetViews>
    <sheetView workbookViewId="0">
      <selection activeCell="A3" sqref="A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BE6D-B95D-4717-9174-120BBFFB7B34}">
  <sheetPr filterMode="1"/>
  <dimension ref="A1:G244"/>
  <sheetViews>
    <sheetView tabSelected="1" zoomScale="115" zoomScaleNormal="115" workbookViewId="0"/>
  </sheetViews>
  <sheetFormatPr defaultRowHeight="15"/>
  <cols>
    <col min="1" max="1" width="33" bestFit="1" customWidth="1"/>
    <col min="2" max="2" width="11.140625" bestFit="1" customWidth="1"/>
    <col min="3" max="3" width="45" customWidth="1"/>
    <col min="4" max="5" width="9.140625" customWidth="1"/>
    <col min="6" max="6" width="31.5703125" bestFit="1" customWidth="1"/>
    <col min="7" max="7" width="32.140625" bestFit="1" customWidth="1"/>
  </cols>
  <sheetData>
    <row r="1" spans="1:7">
      <c r="A1" s="1" t="s">
        <v>0</v>
      </c>
      <c r="B1" s="1" t="s">
        <v>268</v>
      </c>
      <c r="C1" s="1" t="s">
        <v>269</v>
      </c>
    </row>
    <row r="2" spans="1:7" hidden="1">
      <c r="A2" s="1" t="s">
        <v>3</v>
      </c>
      <c r="B2" s="1" t="s">
        <v>24</v>
      </c>
      <c r="C2" s="1" t="s">
        <v>25</v>
      </c>
      <c r="D2" t="str">
        <f>VLOOKUP(A2,googleAdCopyOutput!A:C,2,1)</f>
        <v>Bundle several repairs in one visit (35)</v>
      </c>
      <c r="E2" t="str">
        <f>VLOOKUP(A2,googleAdCopyOutput!A:C,3,2)</f>
        <v>Move-in, turnover and fix-up work (33)</v>
      </c>
      <c r="F2" t="str">
        <f>LEFT(D2,LEN(D2)-5)</f>
        <v>Bundle several repairs in one visit</v>
      </c>
      <c r="G2" t="str">
        <f>LEFT(E2,LEN(E2)-5)</f>
        <v>Move-in, turnover and fix-up work</v>
      </c>
    </row>
    <row r="3" spans="1:7" hidden="1">
      <c r="A3" s="1" t="s">
        <v>3</v>
      </c>
      <c r="B3" s="1" t="s">
        <v>24</v>
      </c>
      <c r="C3" s="1" t="s">
        <v>26</v>
      </c>
      <c r="D3" t="str">
        <f>VLOOKUP(A3,googleAdCopyOutput!A:C,2,1)</f>
        <v>Bundle several repairs in one visit (35)</v>
      </c>
      <c r="E3" t="str">
        <f>VLOOKUP(A3,googleAdCopyOutput!A:C,3,2)</f>
        <v>Move-in, turnover and fix-up work (33)</v>
      </c>
      <c r="F3" t="str">
        <f t="shared" ref="F3:F66" si="0">LEFT(D3,LEN(D3)-5)</f>
        <v>Bundle several repairs in one visit</v>
      </c>
      <c r="G3" t="str">
        <f t="shared" ref="G3:G66" si="1">LEFT(E3,LEN(E3)-5)</f>
        <v>Move-in, turnover and fix-up work</v>
      </c>
    </row>
    <row r="4" spans="1:7" hidden="1">
      <c r="A4" s="1" t="s">
        <v>3</v>
      </c>
      <c r="B4" s="1" t="s">
        <v>24</v>
      </c>
      <c r="C4" s="1" t="s">
        <v>27</v>
      </c>
      <c r="D4" t="str">
        <f>VLOOKUP(A4,googleAdCopyOutput!A:C,2,1)</f>
        <v>Bundle several repairs in one visit (35)</v>
      </c>
      <c r="E4" t="str">
        <f>VLOOKUP(A4,googleAdCopyOutput!A:C,3,2)</f>
        <v>Move-in, turnover and fix-up work (33)</v>
      </c>
      <c r="F4" t="str">
        <f t="shared" si="0"/>
        <v>Bundle several repairs in one visit</v>
      </c>
      <c r="G4" t="str">
        <f t="shared" si="1"/>
        <v>Move-in, turnover and fix-up work</v>
      </c>
    </row>
    <row r="5" spans="1:7" hidden="1">
      <c r="A5" s="1" t="s">
        <v>3</v>
      </c>
      <c r="B5" s="1" t="s">
        <v>24</v>
      </c>
      <c r="C5" s="1" t="s">
        <v>28</v>
      </c>
      <c r="D5" t="str">
        <f>VLOOKUP(A5,googleAdCopyOutput!A:C,2,1)</f>
        <v>Bundle several repairs in one visit (35)</v>
      </c>
      <c r="E5" t="str">
        <f>VLOOKUP(A5,googleAdCopyOutput!A:C,3,2)</f>
        <v>Move-in, turnover and fix-up work (33)</v>
      </c>
      <c r="F5" t="str">
        <f t="shared" si="0"/>
        <v>Bundle several repairs in one visit</v>
      </c>
      <c r="G5" t="str">
        <f t="shared" si="1"/>
        <v>Move-in, turnover and fix-up work</v>
      </c>
    </row>
    <row r="6" spans="1:7" hidden="1">
      <c r="A6" s="1" t="s">
        <v>3</v>
      </c>
      <c r="B6" s="1" t="s">
        <v>24</v>
      </c>
      <c r="C6" s="1" t="s">
        <v>29</v>
      </c>
      <c r="D6" t="str">
        <f>VLOOKUP(A6,googleAdCopyOutput!A:C,2,1)</f>
        <v>Bundle several repairs in one visit (35)</v>
      </c>
      <c r="E6" t="str">
        <f>VLOOKUP(A6,googleAdCopyOutput!A:C,3,2)</f>
        <v>Move-in, turnover and fix-up work (33)</v>
      </c>
      <c r="F6" t="str">
        <f t="shared" si="0"/>
        <v>Bundle several repairs in one visit</v>
      </c>
      <c r="G6" t="str">
        <f t="shared" si="1"/>
        <v>Move-in, turnover and fix-up work</v>
      </c>
    </row>
    <row r="7" spans="1:7" hidden="1">
      <c r="A7" s="1" t="s">
        <v>3</v>
      </c>
      <c r="B7" s="1" t="s">
        <v>24</v>
      </c>
      <c r="C7" s="1" t="s">
        <v>30</v>
      </c>
      <c r="D7" t="str">
        <f>VLOOKUP(A7,googleAdCopyOutput!A:C,2,1)</f>
        <v>Bundle several repairs in one visit (35)</v>
      </c>
      <c r="E7" t="str">
        <f>VLOOKUP(A7,googleAdCopyOutput!A:C,3,2)</f>
        <v>Move-in, turnover and fix-up work (33)</v>
      </c>
      <c r="F7" t="str">
        <f t="shared" si="0"/>
        <v>Bundle several repairs in one visit</v>
      </c>
      <c r="G7" t="str">
        <f t="shared" si="1"/>
        <v>Move-in, turnover and fix-up work</v>
      </c>
    </row>
    <row r="8" spans="1:7" hidden="1">
      <c r="A8" s="1" t="s">
        <v>3</v>
      </c>
      <c r="B8" s="1" t="s">
        <v>24</v>
      </c>
      <c r="C8" s="1" t="s">
        <v>31</v>
      </c>
      <c r="D8" t="str">
        <f>VLOOKUP(A8,googleAdCopyOutput!A:C,2,1)</f>
        <v>Bundle several repairs in one visit (35)</v>
      </c>
      <c r="E8" t="str">
        <f>VLOOKUP(A8,googleAdCopyOutput!A:C,3,2)</f>
        <v>Move-in, turnover and fix-up work (33)</v>
      </c>
      <c r="F8" t="str">
        <f t="shared" si="0"/>
        <v>Bundle several repairs in one visit</v>
      </c>
      <c r="G8" t="str">
        <f t="shared" si="1"/>
        <v>Move-in, turnover and fix-up work</v>
      </c>
    </row>
    <row r="9" spans="1:7" hidden="1">
      <c r="A9" s="1" t="s">
        <v>3</v>
      </c>
      <c r="B9" s="1" t="s">
        <v>24</v>
      </c>
      <c r="C9" s="1" t="s">
        <v>32</v>
      </c>
      <c r="D9" t="str">
        <f>VLOOKUP(A9,googleAdCopyOutput!A:C,2,1)</f>
        <v>Bundle several repairs in one visit (35)</v>
      </c>
      <c r="E9" t="str">
        <f>VLOOKUP(A9,googleAdCopyOutput!A:C,3,2)</f>
        <v>Move-in, turnover and fix-up work (33)</v>
      </c>
      <c r="F9" t="str">
        <f t="shared" si="0"/>
        <v>Bundle several repairs in one visit</v>
      </c>
      <c r="G9" t="str">
        <f t="shared" si="1"/>
        <v>Move-in, turnover and fix-up work</v>
      </c>
    </row>
    <row r="10" spans="1:7" hidden="1">
      <c r="A10" s="1" t="s">
        <v>3</v>
      </c>
      <c r="B10" s="1" t="s">
        <v>24</v>
      </c>
      <c r="C10" s="1" t="s">
        <v>33</v>
      </c>
      <c r="D10" t="str">
        <f>VLOOKUP(A10,googleAdCopyOutput!A:C,2,1)</f>
        <v>Bundle several repairs in one visit (35)</v>
      </c>
      <c r="E10" t="str">
        <f>VLOOKUP(A10,googleAdCopyOutput!A:C,3,2)</f>
        <v>Move-in, turnover and fix-up work (33)</v>
      </c>
      <c r="F10" t="str">
        <f t="shared" si="0"/>
        <v>Bundle several repairs in one visit</v>
      </c>
      <c r="G10" t="str">
        <f t="shared" si="1"/>
        <v>Move-in, turnover and fix-up work</v>
      </c>
    </row>
    <row r="11" spans="1:7" hidden="1">
      <c r="A11" s="1" t="s">
        <v>3</v>
      </c>
      <c r="B11" s="1" t="s">
        <v>24</v>
      </c>
      <c r="C11" s="1" t="s">
        <v>34</v>
      </c>
      <c r="D11" t="str">
        <f>VLOOKUP(A11,googleAdCopyOutput!A:C,2,1)</f>
        <v>Bundle several repairs in one visit (35)</v>
      </c>
      <c r="E11" t="str">
        <f>VLOOKUP(A11,googleAdCopyOutput!A:C,3,2)</f>
        <v>Move-in, turnover and fix-up work (33)</v>
      </c>
      <c r="F11" t="str">
        <f t="shared" si="0"/>
        <v>Bundle several repairs in one visit</v>
      </c>
      <c r="G11" t="str">
        <f t="shared" si="1"/>
        <v>Move-in, turnover and fix-up work</v>
      </c>
    </row>
    <row r="12" spans="1:7" hidden="1">
      <c r="A12" s="1" t="s">
        <v>3</v>
      </c>
      <c r="B12" s="1" t="s">
        <v>24</v>
      </c>
      <c r="C12" s="1" t="s">
        <v>35</v>
      </c>
      <c r="D12" t="str">
        <f>VLOOKUP(A12,googleAdCopyOutput!A:C,2,1)</f>
        <v>Bundle several repairs in one visit (35)</v>
      </c>
      <c r="E12" t="str">
        <f>VLOOKUP(A12,googleAdCopyOutput!A:C,3,2)</f>
        <v>Move-in, turnover and fix-up work (33)</v>
      </c>
      <c r="F12" t="str">
        <f t="shared" si="0"/>
        <v>Bundle several repairs in one visit</v>
      </c>
      <c r="G12" t="str">
        <f t="shared" si="1"/>
        <v>Move-in, turnover and fix-up work</v>
      </c>
    </row>
    <row r="13" spans="1:7" hidden="1">
      <c r="A13" s="1" t="s">
        <v>3</v>
      </c>
      <c r="B13" s="1" t="s">
        <v>24</v>
      </c>
      <c r="C13" s="1" t="s">
        <v>36</v>
      </c>
      <c r="D13" t="str">
        <f>VLOOKUP(A13,googleAdCopyOutput!A:C,2,1)</f>
        <v>Bundle several repairs in one visit (35)</v>
      </c>
      <c r="E13" t="str">
        <f>VLOOKUP(A13,googleAdCopyOutput!A:C,3,2)</f>
        <v>Move-in, turnover and fix-up work (33)</v>
      </c>
      <c r="F13" t="str">
        <f t="shared" si="0"/>
        <v>Bundle several repairs in one visit</v>
      </c>
      <c r="G13" t="str">
        <f t="shared" si="1"/>
        <v>Move-in, turnover and fix-up work</v>
      </c>
    </row>
    <row r="14" spans="1:7" hidden="1">
      <c r="A14" s="1" t="s">
        <v>3</v>
      </c>
      <c r="B14" s="1" t="s">
        <v>24</v>
      </c>
      <c r="C14" s="1" t="s">
        <v>37</v>
      </c>
      <c r="D14" t="str">
        <f>VLOOKUP(A14,googleAdCopyOutput!A:C,2,1)</f>
        <v>Bundle several repairs in one visit (35)</v>
      </c>
      <c r="E14" t="str">
        <f>VLOOKUP(A14,googleAdCopyOutput!A:C,3,2)</f>
        <v>Move-in, turnover and fix-up work (33)</v>
      </c>
      <c r="F14" t="str">
        <f t="shared" si="0"/>
        <v>Bundle several repairs in one visit</v>
      </c>
      <c r="G14" t="str">
        <f t="shared" si="1"/>
        <v>Move-in, turnover and fix-up work</v>
      </c>
    </row>
    <row r="15" spans="1:7" hidden="1">
      <c r="A15" s="1" t="s">
        <v>3</v>
      </c>
      <c r="B15" s="1" t="s">
        <v>24</v>
      </c>
      <c r="C15" s="1" t="s">
        <v>38</v>
      </c>
      <c r="D15" t="str">
        <f>VLOOKUP(A15,googleAdCopyOutput!A:C,2,1)</f>
        <v>Bundle several repairs in one visit (35)</v>
      </c>
      <c r="E15" t="str">
        <f>VLOOKUP(A15,googleAdCopyOutput!A:C,3,2)</f>
        <v>Move-in, turnover and fix-up work (33)</v>
      </c>
      <c r="F15" t="str">
        <f t="shared" si="0"/>
        <v>Bundle several repairs in one visit</v>
      </c>
      <c r="G15" t="str">
        <f t="shared" si="1"/>
        <v>Move-in, turnover and fix-up work</v>
      </c>
    </row>
    <row r="16" spans="1:7" hidden="1">
      <c r="A16" s="1" t="s">
        <v>3</v>
      </c>
      <c r="B16" s="1" t="s">
        <v>24</v>
      </c>
      <c r="C16" s="1" t="s">
        <v>39</v>
      </c>
      <c r="D16" t="str">
        <f>VLOOKUP(A16,googleAdCopyOutput!A:C,2,1)</f>
        <v>Bundle several repairs in one visit (35)</v>
      </c>
      <c r="E16" t="str">
        <f>VLOOKUP(A16,googleAdCopyOutput!A:C,3,2)</f>
        <v>Move-in, turnover and fix-up work (33)</v>
      </c>
      <c r="F16" t="str">
        <f t="shared" si="0"/>
        <v>Bundle several repairs in one visit</v>
      </c>
      <c r="G16" t="str">
        <f t="shared" si="1"/>
        <v>Move-in, turnover and fix-up work</v>
      </c>
    </row>
    <row r="17" spans="1:7" hidden="1">
      <c r="A17" s="1" t="s">
        <v>3</v>
      </c>
      <c r="B17" s="1" t="s">
        <v>24</v>
      </c>
      <c r="C17" s="1" t="s">
        <v>40</v>
      </c>
      <c r="D17" t="str">
        <f>VLOOKUP(A17,googleAdCopyOutput!A:C,2,1)</f>
        <v>Bundle several repairs in one visit (35)</v>
      </c>
      <c r="E17" t="str">
        <f>VLOOKUP(A17,googleAdCopyOutput!A:C,3,2)</f>
        <v>Move-in, turnover and fix-up work (33)</v>
      </c>
      <c r="F17" t="str">
        <f t="shared" si="0"/>
        <v>Bundle several repairs in one visit</v>
      </c>
      <c r="G17" t="str">
        <f t="shared" si="1"/>
        <v>Move-in, turnover and fix-up work</v>
      </c>
    </row>
    <row r="18" spans="1:7" hidden="1">
      <c r="A18" s="1" t="s">
        <v>3</v>
      </c>
      <c r="B18" s="1" t="s">
        <v>41</v>
      </c>
      <c r="C18" s="1" t="s">
        <v>42</v>
      </c>
      <c r="D18" t="str">
        <f>VLOOKUP(A18,googleAdCopyOutput!A:C,2,1)</f>
        <v>Bundle several repairs in one visit (35)</v>
      </c>
      <c r="E18" t="str">
        <f>VLOOKUP(A18,googleAdCopyOutput!A:C,3,2)</f>
        <v>Move-in, turnover and fix-up work (33)</v>
      </c>
      <c r="F18" t="str">
        <f t="shared" si="0"/>
        <v>Bundle several repairs in one visit</v>
      </c>
      <c r="G18" t="str">
        <f t="shared" si="1"/>
        <v>Move-in, turnover and fix-up work</v>
      </c>
    </row>
    <row r="19" spans="1:7" hidden="1">
      <c r="A19" s="1" t="s">
        <v>3</v>
      </c>
      <c r="B19" s="1" t="s">
        <v>41</v>
      </c>
      <c r="C19" s="1" t="s">
        <v>43</v>
      </c>
      <c r="D19" t="str">
        <f>VLOOKUP(A19,googleAdCopyOutput!A:C,2,1)</f>
        <v>Bundle several repairs in one visit (35)</v>
      </c>
      <c r="E19" t="str">
        <f>VLOOKUP(A19,googleAdCopyOutput!A:C,3,2)</f>
        <v>Move-in, turnover and fix-up work (33)</v>
      </c>
      <c r="F19" t="str">
        <f t="shared" si="0"/>
        <v>Bundle several repairs in one visit</v>
      </c>
      <c r="G19" t="str">
        <f t="shared" si="1"/>
        <v>Move-in, turnover and fix-up work</v>
      </c>
    </row>
    <row r="20" spans="1:7" hidden="1">
      <c r="A20" s="1" t="s">
        <v>3</v>
      </c>
      <c r="B20" s="1" t="s">
        <v>41</v>
      </c>
      <c r="C20" s="1" t="s">
        <v>44</v>
      </c>
      <c r="D20" t="str">
        <f>VLOOKUP(A20,googleAdCopyOutput!A:C,2,1)</f>
        <v>Bundle several repairs in one visit (35)</v>
      </c>
      <c r="E20" t="str">
        <f>VLOOKUP(A20,googleAdCopyOutput!A:C,3,2)</f>
        <v>Move-in, turnover and fix-up work (33)</v>
      </c>
      <c r="F20" t="str">
        <f t="shared" si="0"/>
        <v>Bundle several repairs in one visit</v>
      </c>
      <c r="G20" t="str">
        <f t="shared" si="1"/>
        <v>Move-in, turnover and fix-up work</v>
      </c>
    </row>
    <row r="21" spans="1:7" hidden="1">
      <c r="A21" s="1" t="s">
        <v>3</v>
      </c>
      <c r="B21" s="1" t="s">
        <v>41</v>
      </c>
      <c r="C21" s="1" t="s">
        <v>45</v>
      </c>
      <c r="D21" t="str">
        <f>VLOOKUP(A21,googleAdCopyOutput!A:C,2,1)</f>
        <v>Bundle several repairs in one visit (35)</v>
      </c>
      <c r="E21" t="str">
        <f>VLOOKUP(A21,googleAdCopyOutput!A:C,3,2)</f>
        <v>Move-in, turnover and fix-up work (33)</v>
      </c>
      <c r="F21" t="str">
        <f t="shared" si="0"/>
        <v>Bundle several repairs in one visit</v>
      </c>
      <c r="G21" t="str">
        <f t="shared" si="1"/>
        <v>Move-in, turnover and fix-up work</v>
      </c>
    </row>
    <row r="22" spans="1:7" hidden="1">
      <c r="A22" s="1" t="s">
        <v>3</v>
      </c>
      <c r="B22" s="1" t="s">
        <v>41</v>
      </c>
      <c r="C22" s="1" t="s">
        <v>46</v>
      </c>
      <c r="D22" t="str">
        <f>VLOOKUP(A22,googleAdCopyOutput!A:C,2,1)</f>
        <v>Bundle several repairs in one visit (35)</v>
      </c>
      <c r="E22" t="str">
        <f>VLOOKUP(A22,googleAdCopyOutput!A:C,3,2)</f>
        <v>Move-in, turnover and fix-up work (33)</v>
      </c>
      <c r="F22" t="str">
        <f t="shared" si="0"/>
        <v>Bundle several repairs in one visit</v>
      </c>
      <c r="G22" t="str">
        <f t="shared" si="1"/>
        <v>Move-in, turnover and fix-up work</v>
      </c>
    </row>
    <row r="23" spans="1:7" hidden="1">
      <c r="A23" s="1" t="s">
        <v>3</v>
      </c>
      <c r="B23" s="1" t="s">
        <v>41</v>
      </c>
      <c r="C23" s="1" t="s">
        <v>47</v>
      </c>
      <c r="D23" t="str">
        <f>VLOOKUP(A23,googleAdCopyOutput!A:C,2,1)</f>
        <v>Bundle several repairs in one visit (35)</v>
      </c>
      <c r="E23" t="str">
        <f>VLOOKUP(A23,googleAdCopyOutput!A:C,3,2)</f>
        <v>Move-in, turnover and fix-up work (33)</v>
      </c>
      <c r="F23" t="str">
        <f t="shared" si="0"/>
        <v>Bundle several repairs in one visit</v>
      </c>
      <c r="G23" t="str">
        <f t="shared" si="1"/>
        <v>Move-in, turnover and fix-up work</v>
      </c>
    </row>
    <row r="24" spans="1:7" hidden="1">
      <c r="A24" s="1" t="s">
        <v>3</v>
      </c>
      <c r="B24" s="1" t="s">
        <v>41</v>
      </c>
      <c r="C24" s="1" t="s">
        <v>48</v>
      </c>
      <c r="D24" t="str">
        <f>VLOOKUP(A24,googleAdCopyOutput!A:C,2,1)</f>
        <v>Bundle several repairs in one visit (35)</v>
      </c>
      <c r="E24" t="str">
        <f>VLOOKUP(A24,googleAdCopyOutput!A:C,3,2)</f>
        <v>Move-in, turnover and fix-up work (33)</v>
      </c>
      <c r="F24" t="str">
        <f t="shared" si="0"/>
        <v>Bundle several repairs in one visit</v>
      </c>
      <c r="G24" t="str">
        <f t="shared" si="1"/>
        <v>Move-in, turnover and fix-up work</v>
      </c>
    </row>
    <row r="25" spans="1:7" hidden="1">
      <c r="A25" s="1" t="s">
        <v>3</v>
      </c>
      <c r="B25" s="1" t="s">
        <v>41</v>
      </c>
      <c r="C25" s="1" t="s">
        <v>49</v>
      </c>
      <c r="D25" t="str">
        <f>VLOOKUP(A25,googleAdCopyOutput!A:C,2,1)</f>
        <v>Bundle several repairs in one visit (35)</v>
      </c>
      <c r="E25" t="str">
        <f>VLOOKUP(A25,googleAdCopyOutput!A:C,3,2)</f>
        <v>Move-in, turnover and fix-up work (33)</v>
      </c>
      <c r="F25" t="str">
        <f t="shared" si="0"/>
        <v>Bundle several repairs in one visit</v>
      </c>
      <c r="G25" t="str">
        <f t="shared" si="1"/>
        <v>Move-in, turnover and fix-up work</v>
      </c>
    </row>
    <row r="26" spans="1:7" hidden="1">
      <c r="A26" s="1" t="s">
        <v>3</v>
      </c>
      <c r="B26" s="1" t="s">
        <v>41</v>
      </c>
      <c r="C26" s="1" t="s">
        <v>50</v>
      </c>
      <c r="D26" t="str">
        <f>VLOOKUP(A26,googleAdCopyOutput!A:C,2,1)</f>
        <v>Bundle several repairs in one visit (35)</v>
      </c>
      <c r="E26" t="str">
        <f>VLOOKUP(A26,googleAdCopyOutput!A:C,3,2)</f>
        <v>Move-in, turnover and fix-up work (33)</v>
      </c>
      <c r="F26" t="str">
        <f t="shared" si="0"/>
        <v>Bundle several repairs in one visit</v>
      </c>
      <c r="G26" t="str">
        <f t="shared" si="1"/>
        <v>Move-in, turnover and fix-up work</v>
      </c>
    </row>
    <row r="27" spans="1:7" hidden="1">
      <c r="A27" s="1" t="s">
        <v>3</v>
      </c>
      <c r="B27" s="1" t="s">
        <v>41</v>
      </c>
      <c r="C27" s="1" t="s">
        <v>51</v>
      </c>
      <c r="D27" t="str">
        <f>VLOOKUP(A27,googleAdCopyOutput!A:C,2,1)</f>
        <v>Bundle several repairs in one visit (35)</v>
      </c>
      <c r="E27" t="str">
        <f>VLOOKUP(A27,googleAdCopyOutput!A:C,3,2)</f>
        <v>Move-in, turnover and fix-up work (33)</v>
      </c>
      <c r="F27" t="str">
        <f t="shared" si="0"/>
        <v>Bundle several repairs in one visit</v>
      </c>
      <c r="G27" t="str">
        <f t="shared" si="1"/>
        <v>Move-in, turnover and fix-up work</v>
      </c>
    </row>
    <row r="28" spans="1:7" hidden="1">
      <c r="A28" s="1" t="s">
        <v>3</v>
      </c>
      <c r="B28" s="1" t="s">
        <v>41</v>
      </c>
      <c r="C28" s="1" t="s">
        <v>52</v>
      </c>
      <c r="D28" t="str">
        <f>VLOOKUP(A28,googleAdCopyOutput!A:C,2,1)</f>
        <v>Bundle several repairs in one visit (35)</v>
      </c>
      <c r="E28" t="str">
        <f>VLOOKUP(A28,googleAdCopyOutput!A:C,3,2)</f>
        <v>Move-in, turnover and fix-up work (33)</v>
      </c>
      <c r="F28" t="str">
        <f t="shared" si="0"/>
        <v>Bundle several repairs in one visit</v>
      </c>
      <c r="G28" t="str">
        <f t="shared" si="1"/>
        <v>Move-in, turnover and fix-up work</v>
      </c>
    </row>
    <row r="29" spans="1:7" hidden="1">
      <c r="A29" s="1" t="s">
        <v>3</v>
      </c>
      <c r="B29" s="1" t="s">
        <v>41</v>
      </c>
      <c r="C29" s="1" t="s">
        <v>53</v>
      </c>
      <c r="D29" t="str">
        <f>VLOOKUP(A29,googleAdCopyOutput!A:C,2,1)</f>
        <v>Bundle several repairs in one visit (35)</v>
      </c>
      <c r="E29" t="str">
        <f>VLOOKUP(A29,googleAdCopyOutput!A:C,3,2)</f>
        <v>Move-in, turnover and fix-up work (33)</v>
      </c>
      <c r="F29" t="str">
        <f t="shared" si="0"/>
        <v>Bundle several repairs in one visit</v>
      </c>
      <c r="G29" t="str">
        <f t="shared" si="1"/>
        <v>Move-in, turnover and fix-up work</v>
      </c>
    </row>
    <row r="30" spans="1:7" hidden="1">
      <c r="A30" s="1" t="s">
        <v>3</v>
      </c>
      <c r="B30" s="1" t="s">
        <v>41</v>
      </c>
      <c r="C30" s="1" t="s">
        <v>54</v>
      </c>
      <c r="D30" t="str">
        <f>VLOOKUP(A30,googleAdCopyOutput!A:C,2,1)</f>
        <v>Bundle several repairs in one visit (35)</v>
      </c>
      <c r="E30" t="str">
        <f>VLOOKUP(A30,googleAdCopyOutput!A:C,3,2)</f>
        <v>Move-in, turnover and fix-up work (33)</v>
      </c>
      <c r="F30" t="str">
        <f t="shared" si="0"/>
        <v>Bundle several repairs in one visit</v>
      </c>
      <c r="G30" t="str">
        <f t="shared" si="1"/>
        <v>Move-in, turnover and fix-up work</v>
      </c>
    </row>
    <row r="31" spans="1:7" hidden="1">
      <c r="A31" s="1" t="s">
        <v>3</v>
      </c>
      <c r="B31" s="1" t="s">
        <v>41</v>
      </c>
      <c r="C31" s="1" t="s">
        <v>55</v>
      </c>
      <c r="D31" t="str">
        <f>VLOOKUP(A31,googleAdCopyOutput!A:C,2,1)</f>
        <v>Bundle several repairs in one visit (35)</v>
      </c>
      <c r="E31" t="str">
        <f>VLOOKUP(A31,googleAdCopyOutput!A:C,3,2)</f>
        <v>Move-in, turnover and fix-up work (33)</v>
      </c>
      <c r="F31" t="str">
        <f t="shared" si="0"/>
        <v>Bundle several repairs in one visit</v>
      </c>
      <c r="G31" t="str">
        <f t="shared" si="1"/>
        <v>Move-in, turnover and fix-up work</v>
      </c>
    </row>
    <row r="32" spans="1:7" hidden="1">
      <c r="A32" s="1" t="s">
        <v>3</v>
      </c>
      <c r="B32" s="1" t="s">
        <v>41</v>
      </c>
      <c r="C32" s="1" t="s">
        <v>56</v>
      </c>
      <c r="D32" t="str">
        <f>VLOOKUP(A32,googleAdCopyOutput!A:C,2,1)</f>
        <v>Bundle several repairs in one visit (35)</v>
      </c>
      <c r="E32" t="str">
        <f>VLOOKUP(A32,googleAdCopyOutput!A:C,3,2)</f>
        <v>Move-in, turnover and fix-up work (33)</v>
      </c>
      <c r="F32" t="str">
        <f t="shared" si="0"/>
        <v>Bundle several repairs in one visit</v>
      </c>
      <c r="G32" t="str">
        <f t="shared" si="1"/>
        <v>Move-in, turnover and fix-up work</v>
      </c>
    </row>
    <row r="33" spans="1:7" hidden="1">
      <c r="A33" s="1" t="s">
        <v>3</v>
      </c>
      <c r="B33" s="1" t="s">
        <v>57</v>
      </c>
      <c r="C33" s="1" t="s">
        <v>58</v>
      </c>
      <c r="D33" t="str">
        <f>VLOOKUP(A33,googleAdCopyOutput!A:C,2,1)</f>
        <v>Bundle several repairs in one visit (35)</v>
      </c>
      <c r="E33" t="str">
        <f>VLOOKUP(A33,googleAdCopyOutput!A:C,3,2)</f>
        <v>Move-in, turnover and fix-up work (33)</v>
      </c>
      <c r="F33" t="str">
        <f t="shared" si="0"/>
        <v>Bundle several repairs in one visit</v>
      </c>
      <c r="G33" t="str">
        <f t="shared" si="1"/>
        <v>Move-in, turnover and fix-up work</v>
      </c>
    </row>
    <row r="34" spans="1:7" hidden="1">
      <c r="A34" s="1" t="s">
        <v>3</v>
      </c>
      <c r="B34" s="1" t="s">
        <v>57</v>
      </c>
      <c r="C34" s="1" t="s">
        <v>59</v>
      </c>
      <c r="D34" t="str">
        <f>VLOOKUP(A34,googleAdCopyOutput!A:C,2,1)</f>
        <v>Bundle several repairs in one visit (35)</v>
      </c>
      <c r="E34" t="str">
        <f>VLOOKUP(A34,googleAdCopyOutput!A:C,3,2)</f>
        <v>Move-in, turnover and fix-up work (33)</v>
      </c>
      <c r="F34" t="str">
        <f t="shared" si="0"/>
        <v>Bundle several repairs in one visit</v>
      </c>
      <c r="G34" t="str">
        <f t="shared" si="1"/>
        <v>Move-in, turnover and fix-up work</v>
      </c>
    </row>
    <row r="35" spans="1:7" hidden="1">
      <c r="A35" s="1" t="s">
        <v>3</v>
      </c>
      <c r="B35" s="1" t="s">
        <v>57</v>
      </c>
      <c r="C35" s="1" t="s">
        <v>60</v>
      </c>
      <c r="D35" t="str">
        <f>VLOOKUP(A35,googleAdCopyOutput!A:C,2,1)</f>
        <v>Bundle several repairs in one visit (35)</v>
      </c>
      <c r="E35" t="str">
        <f>VLOOKUP(A35,googleAdCopyOutput!A:C,3,2)</f>
        <v>Move-in, turnover and fix-up work (33)</v>
      </c>
      <c r="F35" t="str">
        <f t="shared" si="0"/>
        <v>Bundle several repairs in one visit</v>
      </c>
      <c r="G35" t="str">
        <f t="shared" si="1"/>
        <v>Move-in, turnover and fix-up work</v>
      </c>
    </row>
    <row r="36" spans="1:7" hidden="1">
      <c r="A36" s="1" t="s">
        <v>3</v>
      </c>
      <c r="B36" s="1" t="s">
        <v>57</v>
      </c>
      <c r="C36" s="1" t="s">
        <v>61</v>
      </c>
      <c r="D36" t="str">
        <f>VLOOKUP(A36,googleAdCopyOutput!A:C,2,1)</f>
        <v>Bundle several repairs in one visit (35)</v>
      </c>
      <c r="E36" t="str">
        <f>VLOOKUP(A36,googleAdCopyOutput!A:C,3,2)</f>
        <v>Move-in, turnover and fix-up work (33)</v>
      </c>
      <c r="F36" t="str">
        <f t="shared" si="0"/>
        <v>Bundle several repairs in one visit</v>
      </c>
      <c r="G36" t="str">
        <f t="shared" si="1"/>
        <v>Move-in, turnover and fix-up work</v>
      </c>
    </row>
    <row r="37" spans="1:7" hidden="1">
      <c r="A37" s="1" t="s">
        <v>6</v>
      </c>
      <c r="B37" s="1" t="s">
        <v>24</v>
      </c>
      <c r="C37" s="1" t="s">
        <v>62</v>
      </c>
      <c r="D37" t="str">
        <f>VLOOKUP(A37,googleAdCopyOutput!A:C,2,1)</f>
        <v>Fix doors that stick, sag or drag (33)</v>
      </c>
      <c r="E37" t="str">
        <f>VLOOKUP(A37,googleAdCopyOutput!A:C,3,2)</f>
        <v>Hinges, locks and security doors (32)</v>
      </c>
      <c r="F37" t="str">
        <f t="shared" si="0"/>
        <v>Fix doors that stick, sag or drag</v>
      </c>
      <c r="G37" t="str">
        <f t="shared" si="1"/>
        <v>Hinges, locks and security doors</v>
      </c>
    </row>
    <row r="38" spans="1:7" hidden="1">
      <c r="A38" s="1" t="s">
        <v>6</v>
      </c>
      <c r="B38" s="1" t="s">
        <v>24</v>
      </c>
      <c r="C38" s="1" t="s">
        <v>63</v>
      </c>
      <c r="D38" t="str">
        <f>VLOOKUP(A38,googleAdCopyOutput!A:C,2,1)</f>
        <v>Fix doors that stick, sag or drag (33)</v>
      </c>
      <c r="E38" t="str">
        <f>VLOOKUP(A38,googleAdCopyOutput!A:C,3,2)</f>
        <v>Hinges, locks and security doors (32)</v>
      </c>
      <c r="F38" t="str">
        <f t="shared" si="0"/>
        <v>Fix doors that stick, sag or drag</v>
      </c>
      <c r="G38" t="str">
        <f t="shared" si="1"/>
        <v>Hinges, locks and security doors</v>
      </c>
    </row>
    <row r="39" spans="1:7" hidden="1">
      <c r="A39" s="1" t="s">
        <v>6</v>
      </c>
      <c r="B39" s="1" t="s">
        <v>24</v>
      </c>
      <c r="C39" s="1" t="s">
        <v>64</v>
      </c>
      <c r="D39" t="str">
        <f>VLOOKUP(A39,googleAdCopyOutput!A:C,2,1)</f>
        <v>Fix doors that stick, sag or drag (33)</v>
      </c>
      <c r="E39" t="str">
        <f>VLOOKUP(A39,googleAdCopyOutput!A:C,3,2)</f>
        <v>Hinges, locks and security doors (32)</v>
      </c>
      <c r="F39" t="str">
        <f t="shared" si="0"/>
        <v>Fix doors that stick, sag or drag</v>
      </c>
      <c r="G39" t="str">
        <f t="shared" si="1"/>
        <v>Hinges, locks and security doors</v>
      </c>
    </row>
    <row r="40" spans="1:7" hidden="1">
      <c r="A40" s="1" t="s">
        <v>6</v>
      </c>
      <c r="B40" s="1" t="s">
        <v>24</v>
      </c>
      <c r="C40" s="1" t="s">
        <v>65</v>
      </c>
      <c r="D40" t="str">
        <f>VLOOKUP(A40,googleAdCopyOutput!A:C,2,1)</f>
        <v>Fix doors that stick, sag or drag (33)</v>
      </c>
      <c r="E40" t="str">
        <f>VLOOKUP(A40,googleAdCopyOutput!A:C,3,2)</f>
        <v>Hinges, locks and security doors (32)</v>
      </c>
      <c r="F40" t="str">
        <f t="shared" si="0"/>
        <v>Fix doors that stick, sag or drag</v>
      </c>
      <c r="G40" t="str">
        <f t="shared" si="1"/>
        <v>Hinges, locks and security doors</v>
      </c>
    </row>
    <row r="41" spans="1:7" hidden="1">
      <c r="A41" s="1" t="s">
        <v>6</v>
      </c>
      <c r="B41" s="1" t="s">
        <v>24</v>
      </c>
      <c r="C41" s="1" t="s">
        <v>66</v>
      </c>
      <c r="D41" t="str">
        <f>VLOOKUP(A41,googleAdCopyOutput!A:C,2,1)</f>
        <v>Fix doors that stick, sag or drag (33)</v>
      </c>
      <c r="E41" t="str">
        <f>VLOOKUP(A41,googleAdCopyOutput!A:C,3,2)</f>
        <v>Hinges, locks and security doors (32)</v>
      </c>
      <c r="F41" t="str">
        <f t="shared" si="0"/>
        <v>Fix doors that stick, sag or drag</v>
      </c>
      <c r="G41" t="str">
        <f t="shared" si="1"/>
        <v>Hinges, locks and security doors</v>
      </c>
    </row>
    <row r="42" spans="1:7" hidden="1">
      <c r="A42" s="1" t="s">
        <v>6</v>
      </c>
      <c r="B42" s="1" t="s">
        <v>24</v>
      </c>
      <c r="C42" s="1" t="s">
        <v>67</v>
      </c>
      <c r="D42" t="str">
        <f>VLOOKUP(A42,googleAdCopyOutput!A:C,2,1)</f>
        <v>Fix doors that stick, sag or drag (33)</v>
      </c>
      <c r="E42" t="str">
        <f>VLOOKUP(A42,googleAdCopyOutput!A:C,3,2)</f>
        <v>Hinges, locks and security doors (32)</v>
      </c>
      <c r="F42" t="str">
        <f t="shared" si="0"/>
        <v>Fix doors that stick, sag or drag</v>
      </c>
      <c r="G42" t="str">
        <f t="shared" si="1"/>
        <v>Hinges, locks and security doors</v>
      </c>
    </row>
    <row r="43" spans="1:7" hidden="1">
      <c r="A43" s="1" t="s">
        <v>6</v>
      </c>
      <c r="B43" s="1" t="s">
        <v>24</v>
      </c>
      <c r="C43" s="1" t="s">
        <v>68</v>
      </c>
      <c r="D43" t="str">
        <f>VLOOKUP(A43,googleAdCopyOutput!A:C,2,1)</f>
        <v>Fix doors that stick, sag or drag (33)</v>
      </c>
      <c r="E43" t="str">
        <f>VLOOKUP(A43,googleAdCopyOutput!A:C,3,2)</f>
        <v>Hinges, locks and security doors (32)</v>
      </c>
      <c r="F43" t="str">
        <f t="shared" si="0"/>
        <v>Fix doors that stick, sag or drag</v>
      </c>
      <c r="G43" t="str">
        <f t="shared" si="1"/>
        <v>Hinges, locks and security doors</v>
      </c>
    </row>
    <row r="44" spans="1:7" hidden="1">
      <c r="A44" s="1" t="s">
        <v>6</v>
      </c>
      <c r="B44" s="1" t="s">
        <v>24</v>
      </c>
      <c r="C44" s="1" t="s">
        <v>69</v>
      </c>
      <c r="D44" t="str">
        <f>VLOOKUP(A44,googleAdCopyOutput!A:C,2,1)</f>
        <v>Fix doors that stick, sag or drag (33)</v>
      </c>
      <c r="E44" t="str">
        <f>VLOOKUP(A44,googleAdCopyOutput!A:C,3,2)</f>
        <v>Hinges, locks and security doors (32)</v>
      </c>
      <c r="F44" t="str">
        <f t="shared" si="0"/>
        <v>Fix doors that stick, sag or drag</v>
      </c>
      <c r="G44" t="str">
        <f t="shared" si="1"/>
        <v>Hinges, locks and security doors</v>
      </c>
    </row>
    <row r="45" spans="1:7" hidden="1">
      <c r="A45" s="1" t="s">
        <v>6</v>
      </c>
      <c r="B45" s="1" t="s">
        <v>24</v>
      </c>
      <c r="C45" s="1" t="s">
        <v>70</v>
      </c>
      <c r="D45" t="str">
        <f>VLOOKUP(A45,googleAdCopyOutput!A:C,2,1)</f>
        <v>Fix doors that stick, sag or drag (33)</v>
      </c>
      <c r="E45" t="str">
        <f>VLOOKUP(A45,googleAdCopyOutput!A:C,3,2)</f>
        <v>Hinges, locks and security doors (32)</v>
      </c>
      <c r="F45" t="str">
        <f t="shared" si="0"/>
        <v>Fix doors that stick, sag or drag</v>
      </c>
      <c r="G45" t="str">
        <f t="shared" si="1"/>
        <v>Hinges, locks and security doors</v>
      </c>
    </row>
    <row r="46" spans="1:7" hidden="1">
      <c r="A46" s="1" t="s">
        <v>6</v>
      </c>
      <c r="B46" s="1" t="s">
        <v>24</v>
      </c>
      <c r="C46" s="1" t="s">
        <v>71</v>
      </c>
      <c r="D46" t="str">
        <f>VLOOKUP(A46,googleAdCopyOutput!A:C,2,1)</f>
        <v>Fix doors that stick, sag or drag (33)</v>
      </c>
      <c r="E46" t="str">
        <f>VLOOKUP(A46,googleAdCopyOutput!A:C,3,2)</f>
        <v>Hinges, locks and security doors (32)</v>
      </c>
      <c r="F46" t="str">
        <f t="shared" si="0"/>
        <v>Fix doors that stick, sag or drag</v>
      </c>
      <c r="G46" t="str">
        <f t="shared" si="1"/>
        <v>Hinges, locks and security doors</v>
      </c>
    </row>
    <row r="47" spans="1:7" hidden="1">
      <c r="A47" s="1" t="s">
        <v>6</v>
      </c>
      <c r="B47" s="1" t="s">
        <v>24</v>
      </c>
      <c r="C47" s="1" t="s">
        <v>72</v>
      </c>
      <c r="D47" t="str">
        <f>VLOOKUP(A47,googleAdCopyOutput!A:C,2,1)</f>
        <v>Fix doors that stick, sag or drag (33)</v>
      </c>
      <c r="E47" t="str">
        <f>VLOOKUP(A47,googleAdCopyOutput!A:C,3,2)</f>
        <v>Hinges, locks and security doors (32)</v>
      </c>
      <c r="F47" t="str">
        <f t="shared" si="0"/>
        <v>Fix doors that stick, sag or drag</v>
      </c>
      <c r="G47" t="str">
        <f t="shared" si="1"/>
        <v>Hinges, locks and security doors</v>
      </c>
    </row>
    <row r="48" spans="1:7" hidden="1">
      <c r="A48" s="1" t="s">
        <v>6</v>
      </c>
      <c r="B48" s="1" t="s">
        <v>24</v>
      </c>
      <c r="C48" s="1" t="s">
        <v>73</v>
      </c>
      <c r="D48" t="str">
        <f>VLOOKUP(A48,googleAdCopyOutput!A:C,2,1)</f>
        <v>Fix doors that stick, sag or drag (33)</v>
      </c>
      <c r="E48" t="str">
        <f>VLOOKUP(A48,googleAdCopyOutput!A:C,3,2)</f>
        <v>Hinges, locks and security doors (32)</v>
      </c>
      <c r="F48" t="str">
        <f t="shared" si="0"/>
        <v>Fix doors that stick, sag or drag</v>
      </c>
      <c r="G48" t="str">
        <f t="shared" si="1"/>
        <v>Hinges, locks and security doors</v>
      </c>
    </row>
    <row r="49" spans="1:7" hidden="1">
      <c r="A49" s="1" t="s">
        <v>6</v>
      </c>
      <c r="B49" s="1" t="s">
        <v>24</v>
      </c>
      <c r="C49" s="1" t="s">
        <v>74</v>
      </c>
      <c r="D49" t="str">
        <f>VLOOKUP(A49,googleAdCopyOutput!A:C,2,1)</f>
        <v>Fix doors that stick, sag or drag (33)</v>
      </c>
      <c r="E49" t="str">
        <f>VLOOKUP(A49,googleAdCopyOutput!A:C,3,2)</f>
        <v>Hinges, locks and security doors (32)</v>
      </c>
      <c r="F49" t="str">
        <f t="shared" si="0"/>
        <v>Fix doors that stick, sag or drag</v>
      </c>
      <c r="G49" t="str">
        <f t="shared" si="1"/>
        <v>Hinges, locks and security doors</v>
      </c>
    </row>
    <row r="50" spans="1:7" hidden="1">
      <c r="A50" s="1" t="s">
        <v>6</v>
      </c>
      <c r="B50" s="1" t="s">
        <v>24</v>
      </c>
      <c r="C50" s="1" t="s">
        <v>75</v>
      </c>
      <c r="D50" t="str">
        <f>VLOOKUP(A50,googleAdCopyOutput!A:C,2,1)</f>
        <v>Fix doors that stick, sag or drag (33)</v>
      </c>
      <c r="E50" t="str">
        <f>VLOOKUP(A50,googleAdCopyOutput!A:C,3,2)</f>
        <v>Hinges, locks and security doors (32)</v>
      </c>
      <c r="F50" t="str">
        <f t="shared" si="0"/>
        <v>Fix doors that stick, sag or drag</v>
      </c>
      <c r="G50" t="str">
        <f t="shared" si="1"/>
        <v>Hinges, locks and security doors</v>
      </c>
    </row>
    <row r="51" spans="1:7" hidden="1">
      <c r="A51" s="1" t="s">
        <v>6</v>
      </c>
      <c r="B51" s="1" t="s">
        <v>24</v>
      </c>
      <c r="C51" s="1" t="s">
        <v>76</v>
      </c>
      <c r="D51" t="str">
        <f>VLOOKUP(A51,googleAdCopyOutput!A:C,2,1)</f>
        <v>Fix doors that stick, sag or drag (33)</v>
      </c>
      <c r="E51" t="str">
        <f>VLOOKUP(A51,googleAdCopyOutput!A:C,3,2)</f>
        <v>Hinges, locks and security doors (32)</v>
      </c>
      <c r="F51" t="str">
        <f t="shared" si="0"/>
        <v>Fix doors that stick, sag or drag</v>
      </c>
      <c r="G51" t="str">
        <f t="shared" si="1"/>
        <v>Hinges, locks and security doors</v>
      </c>
    </row>
    <row r="52" spans="1:7" hidden="1">
      <c r="A52" s="1" t="s">
        <v>6</v>
      </c>
      <c r="B52" s="1" t="s">
        <v>24</v>
      </c>
      <c r="C52" s="1" t="s">
        <v>77</v>
      </c>
      <c r="D52" t="str">
        <f>VLOOKUP(A52,googleAdCopyOutput!A:C,2,1)</f>
        <v>Fix doors that stick, sag or drag (33)</v>
      </c>
      <c r="E52" t="str">
        <f>VLOOKUP(A52,googleAdCopyOutput!A:C,3,2)</f>
        <v>Hinges, locks and security doors (32)</v>
      </c>
      <c r="F52" t="str">
        <f t="shared" si="0"/>
        <v>Fix doors that stick, sag or drag</v>
      </c>
      <c r="G52" t="str">
        <f t="shared" si="1"/>
        <v>Hinges, locks and security doors</v>
      </c>
    </row>
    <row r="53" spans="1:7" hidden="1">
      <c r="A53" s="1" t="s">
        <v>6</v>
      </c>
      <c r="B53" s="1" t="s">
        <v>41</v>
      </c>
      <c r="C53" s="1" t="s">
        <v>78</v>
      </c>
      <c r="D53" t="str">
        <f>VLOOKUP(A53,googleAdCopyOutput!A:C,2,2)</f>
        <v>Fix doors that stick, sag or drag (33)</v>
      </c>
      <c r="E53" t="str">
        <f>VLOOKUP(A53,googleAdCopyOutput!A:C,3,2)</f>
        <v>Hinges, locks and security doors (32)</v>
      </c>
      <c r="F53" t="str">
        <f t="shared" si="0"/>
        <v>Fix doors that stick, sag or drag</v>
      </c>
      <c r="G53" t="str">
        <f t="shared" si="1"/>
        <v>Hinges, locks and security doors</v>
      </c>
    </row>
    <row r="54" spans="1:7" hidden="1">
      <c r="A54" s="1" t="s">
        <v>6</v>
      </c>
      <c r="B54" s="1" t="s">
        <v>41</v>
      </c>
      <c r="C54" s="1" t="s">
        <v>79</v>
      </c>
      <c r="D54" t="str">
        <f>VLOOKUP(A54,googleAdCopyOutput!A:C,2,2)</f>
        <v>Fix doors that stick, sag or drag (33)</v>
      </c>
      <c r="E54" t="str">
        <f>VLOOKUP(A54,googleAdCopyOutput!A:C,3,2)</f>
        <v>Hinges, locks and security doors (32)</v>
      </c>
      <c r="F54" t="str">
        <f t="shared" si="0"/>
        <v>Fix doors that stick, sag or drag</v>
      </c>
      <c r="G54" t="str">
        <f t="shared" si="1"/>
        <v>Hinges, locks and security doors</v>
      </c>
    </row>
    <row r="55" spans="1:7" hidden="1">
      <c r="A55" s="1" t="s">
        <v>6</v>
      </c>
      <c r="B55" s="1" t="s">
        <v>41</v>
      </c>
      <c r="C55" s="1" t="s">
        <v>80</v>
      </c>
      <c r="D55" t="str">
        <f>VLOOKUP(A55,googleAdCopyOutput!A:C,2,2)</f>
        <v>Fix doors that stick, sag or drag (33)</v>
      </c>
      <c r="E55" t="str">
        <f>VLOOKUP(A55,googleAdCopyOutput!A:C,3,2)</f>
        <v>Hinges, locks and security doors (32)</v>
      </c>
      <c r="F55" t="str">
        <f t="shared" si="0"/>
        <v>Fix doors that stick, sag or drag</v>
      </c>
      <c r="G55" t="str">
        <f t="shared" si="1"/>
        <v>Hinges, locks and security doors</v>
      </c>
    </row>
    <row r="56" spans="1:7" hidden="1">
      <c r="A56" s="1" t="s">
        <v>6</v>
      </c>
      <c r="B56" s="1" t="s">
        <v>41</v>
      </c>
      <c r="C56" s="1" t="s">
        <v>81</v>
      </c>
      <c r="D56" t="str">
        <f>VLOOKUP(A56,googleAdCopyOutput!A:C,2,2)</f>
        <v>Fix doors that stick, sag or drag (33)</v>
      </c>
      <c r="E56" t="str">
        <f>VLOOKUP(A56,googleAdCopyOutput!A:C,3,2)</f>
        <v>Hinges, locks and security doors (32)</v>
      </c>
      <c r="F56" t="str">
        <f t="shared" si="0"/>
        <v>Fix doors that stick, sag or drag</v>
      </c>
      <c r="G56" t="str">
        <f t="shared" si="1"/>
        <v>Hinges, locks and security doors</v>
      </c>
    </row>
    <row r="57" spans="1:7" hidden="1">
      <c r="A57" s="1" t="s">
        <v>6</v>
      </c>
      <c r="B57" s="1" t="s">
        <v>41</v>
      </c>
      <c r="C57" s="1" t="s">
        <v>82</v>
      </c>
      <c r="D57" t="str">
        <f>VLOOKUP(A57,googleAdCopyOutput!A:C,2,2)</f>
        <v>Fix doors that stick, sag or drag (33)</v>
      </c>
      <c r="E57" t="str">
        <f>VLOOKUP(A57,googleAdCopyOutput!A:C,3,2)</f>
        <v>Hinges, locks and security doors (32)</v>
      </c>
      <c r="F57" t="str">
        <f t="shared" si="0"/>
        <v>Fix doors that stick, sag or drag</v>
      </c>
      <c r="G57" t="str">
        <f t="shared" si="1"/>
        <v>Hinges, locks and security doors</v>
      </c>
    </row>
    <row r="58" spans="1:7" hidden="1">
      <c r="A58" s="1" t="s">
        <v>6</v>
      </c>
      <c r="B58" s="1" t="s">
        <v>41</v>
      </c>
      <c r="C58" s="1" t="s">
        <v>83</v>
      </c>
      <c r="D58" t="str">
        <f>VLOOKUP(A58,googleAdCopyOutput!A:C,2,2)</f>
        <v>Fix doors that stick, sag or drag (33)</v>
      </c>
      <c r="E58" t="str">
        <f>VLOOKUP(A58,googleAdCopyOutput!A:C,3,2)</f>
        <v>Hinges, locks and security doors (32)</v>
      </c>
      <c r="F58" t="str">
        <f t="shared" si="0"/>
        <v>Fix doors that stick, sag or drag</v>
      </c>
      <c r="G58" t="str">
        <f t="shared" si="1"/>
        <v>Hinges, locks and security doors</v>
      </c>
    </row>
    <row r="59" spans="1:7" hidden="1">
      <c r="A59" s="1" t="s">
        <v>6</v>
      </c>
      <c r="B59" s="1" t="s">
        <v>41</v>
      </c>
      <c r="C59" s="1" t="s">
        <v>84</v>
      </c>
      <c r="D59" t="str">
        <f>VLOOKUP(A59,googleAdCopyOutput!A:C,2,2)</f>
        <v>Fix doors that stick, sag or drag (33)</v>
      </c>
      <c r="E59" t="str">
        <f>VLOOKUP(A59,googleAdCopyOutput!A:C,3,2)</f>
        <v>Hinges, locks and security doors (32)</v>
      </c>
      <c r="F59" t="str">
        <f t="shared" si="0"/>
        <v>Fix doors that stick, sag or drag</v>
      </c>
      <c r="G59" t="str">
        <f t="shared" si="1"/>
        <v>Hinges, locks and security doors</v>
      </c>
    </row>
    <row r="60" spans="1:7" hidden="1">
      <c r="A60" s="1" t="s">
        <v>6</v>
      </c>
      <c r="B60" s="1" t="s">
        <v>41</v>
      </c>
      <c r="C60" s="1" t="s">
        <v>85</v>
      </c>
      <c r="D60" t="str">
        <f>VLOOKUP(A60,googleAdCopyOutput!A:C,2,2)</f>
        <v>Fix doors that stick, sag or drag (33)</v>
      </c>
      <c r="E60" t="str">
        <f>VLOOKUP(A60,googleAdCopyOutput!A:C,3,2)</f>
        <v>Hinges, locks and security doors (32)</v>
      </c>
      <c r="F60" t="str">
        <f t="shared" si="0"/>
        <v>Fix doors that stick, sag or drag</v>
      </c>
      <c r="G60" t="str">
        <f t="shared" si="1"/>
        <v>Hinges, locks and security doors</v>
      </c>
    </row>
    <row r="61" spans="1:7" hidden="1">
      <c r="A61" s="1" t="s">
        <v>6</v>
      </c>
      <c r="B61" s="1" t="s">
        <v>41</v>
      </c>
      <c r="C61" s="1" t="s">
        <v>86</v>
      </c>
      <c r="D61" t="str">
        <f>VLOOKUP(A61,googleAdCopyOutput!A:C,2,2)</f>
        <v>Fix doors that stick, sag or drag (33)</v>
      </c>
      <c r="E61" t="str">
        <f>VLOOKUP(A61,googleAdCopyOutput!A:C,3,2)</f>
        <v>Hinges, locks and security doors (32)</v>
      </c>
      <c r="F61" t="str">
        <f t="shared" si="0"/>
        <v>Fix doors that stick, sag or drag</v>
      </c>
      <c r="G61" t="str">
        <f t="shared" si="1"/>
        <v>Hinges, locks and security doors</v>
      </c>
    </row>
    <row r="62" spans="1:7" hidden="1">
      <c r="A62" s="1" t="s">
        <v>6</v>
      </c>
      <c r="B62" s="1" t="s">
        <v>41</v>
      </c>
      <c r="C62" s="1" t="s">
        <v>87</v>
      </c>
      <c r="D62" t="str">
        <f>VLOOKUP(A62,googleAdCopyOutput!A:C,2,2)</f>
        <v>Fix doors that stick, sag or drag (33)</v>
      </c>
      <c r="E62" t="str">
        <f>VLOOKUP(A62,googleAdCopyOutput!A:C,3,2)</f>
        <v>Hinges, locks and security doors (32)</v>
      </c>
      <c r="F62" t="str">
        <f t="shared" si="0"/>
        <v>Fix doors that stick, sag or drag</v>
      </c>
      <c r="G62" t="str">
        <f t="shared" si="1"/>
        <v>Hinges, locks and security doors</v>
      </c>
    </row>
    <row r="63" spans="1:7" hidden="1">
      <c r="A63" s="1" t="s">
        <v>6</v>
      </c>
      <c r="B63" s="1" t="s">
        <v>41</v>
      </c>
      <c r="C63" s="1" t="s">
        <v>88</v>
      </c>
      <c r="D63" t="str">
        <f>VLOOKUP(A63,googleAdCopyOutput!A:C,2,2)</f>
        <v>Fix doors that stick, sag or drag (33)</v>
      </c>
      <c r="E63" t="str">
        <f>VLOOKUP(A63,googleAdCopyOutput!A:C,3,2)</f>
        <v>Hinges, locks and security doors (32)</v>
      </c>
      <c r="F63" t="str">
        <f t="shared" si="0"/>
        <v>Fix doors that stick, sag or drag</v>
      </c>
      <c r="G63" t="str">
        <f t="shared" si="1"/>
        <v>Hinges, locks and security doors</v>
      </c>
    </row>
    <row r="64" spans="1:7" hidden="1">
      <c r="A64" s="1" t="s">
        <v>6</v>
      </c>
      <c r="B64" s="1" t="s">
        <v>41</v>
      </c>
      <c r="C64" s="1" t="s">
        <v>89</v>
      </c>
      <c r="D64" t="str">
        <f>VLOOKUP(A64,googleAdCopyOutput!A:C,2,2)</f>
        <v>Fix doors that stick, sag or drag (33)</v>
      </c>
      <c r="E64" t="str">
        <f>VLOOKUP(A64,googleAdCopyOutput!A:C,3,2)</f>
        <v>Hinges, locks and security doors (32)</v>
      </c>
      <c r="F64" t="str">
        <f t="shared" si="0"/>
        <v>Fix doors that stick, sag or drag</v>
      </c>
      <c r="G64" t="str">
        <f t="shared" si="1"/>
        <v>Hinges, locks and security doors</v>
      </c>
    </row>
    <row r="65" spans="1:7" hidden="1">
      <c r="A65" s="1" t="s">
        <v>6</v>
      </c>
      <c r="B65" s="1" t="s">
        <v>41</v>
      </c>
      <c r="C65" s="1" t="s">
        <v>90</v>
      </c>
      <c r="D65" t="str">
        <f>VLOOKUP(A65,googleAdCopyOutput!A:C,2,2)</f>
        <v>Fix doors that stick, sag or drag (33)</v>
      </c>
      <c r="E65" t="str">
        <f>VLOOKUP(A65,googleAdCopyOutput!A:C,3,2)</f>
        <v>Hinges, locks and security doors (32)</v>
      </c>
      <c r="F65" t="str">
        <f t="shared" si="0"/>
        <v>Fix doors that stick, sag or drag</v>
      </c>
      <c r="G65" t="str">
        <f t="shared" si="1"/>
        <v>Hinges, locks and security doors</v>
      </c>
    </row>
    <row r="66" spans="1:7" hidden="1">
      <c r="A66" s="1" t="s">
        <v>6</v>
      </c>
      <c r="B66" s="1" t="s">
        <v>41</v>
      </c>
      <c r="C66" s="1" t="s">
        <v>55</v>
      </c>
      <c r="D66" t="str">
        <f>VLOOKUP(A66,googleAdCopyOutput!A:C,2,2)</f>
        <v>Fix doors that stick, sag or drag (33)</v>
      </c>
      <c r="E66" t="str">
        <f>VLOOKUP(A66,googleAdCopyOutput!A:C,3,2)</f>
        <v>Hinges, locks and security doors (32)</v>
      </c>
      <c r="F66" t="str">
        <f t="shared" si="0"/>
        <v>Fix doors that stick, sag or drag</v>
      </c>
      <c r="G66" t="str">
        <f t="shared" si="1"/>
        <v>Hinges, locks and security doors</v>
      </c>
    </row>
    <row r="67" spans="1:7" hidden="1">
      <c r="A67" s="1" t="s">
        <v>6</v>
      </c>
      <c r="B67" s="1" t="s">
        <v>41</v>
      </c>
      <c r="C67" s="1" t="s">
        <v>91</v>
      </c>
      <c r="D67" t="str">
        <f>VLOOKUP(A67,googleAdCopyOutput!A:C,2,2)</f>
        <v>Fix doors that stick, sag or drag (33)</v>
      </c>
      <c r="E67" t="str">
        <f>VLOOKUP(A67,googleAdCopyOutput!A:C,3,2)</f>
        <v>Hinges, locks and security doors (32)</v>
      </c>
      <c r="F67" t="str">
        <f t="shared" ref="F67:F130" si="2">LEFT(D67,LEN(D67)-5)</f>
        <v>Fix doors that stick, sag or drag</v>
      </c>
      <c r="G67" t="str">
        <f t="shared" ref="G67:G130" si="3">LEFT(E67,LEN(E67)-5)</f>
        <v>Hinges, locks and security doors</v>
      </c>
    </row>
    <row r="68" spans="1:7" hidden="1">
      <c r="A68" s="1" t="s">
        <v>6</v>
      </c>
      <c r="B68" s="1" t="s">
        <v>57</v>
      </c>
      <c r="C68" s="1" t="s">
        <v>92</v>
      </c>
      <c r="D68" t="str">
        <f>VLOOKUP(A68,googleAdCopyOutput!A:C,2,1)</f>
        <v>Fix doors that stick, sag or drag (33)</v>
      </c>
      <c r="E68" t="str">
        <f>VLOOKUP(A68,googleAdCopyOutput!A:C,3,2)</f>
        <v>Hinges, locks and security doors (32)</v>
      </c>
      <c r="F68" t="str">
        <f t="shared" si="2"/>
        <v>Fix doors that stick, sag or drag</v>
      </c>
      <c r="G68" t="str">
        <f t="shared" si="3"/>
        <v>Hinges, locks and security doors</v>
      </c>
    </row>
    <row r="69" spans="1:7" hidden="1">
      <c r="A69" s="1" t="s">
        <v>6</v>
      </c>
      <c r="B69" s="1" t="s">
        <v>57</v>
      </c>
      <c r="C69" s="1" t="s">
        <v>93</v>
      </c>
      <c r="D69" t="str">
        <f>VLOOKUP(A69,googleAdCopyOutput!A:C,2,1)</f>
        <v>Fix doors that stick, sag or drag (33)</v>
      </c>
      <c r="E69" t="str">
        <f>VLOOKUP(A69,googleAdCopyOutput!A:C,3,2)</f>
        <v>Hinges, locks and security doors (32)</v>
      </c>
      <c r="F69" t="str">
        <f t="shared" si="2"/>
        <v>Fix doors that stick, sag or drag</v>
      </c>
      <c r="G69" t="str">
        <f t="shared" si="3"/>
        <v>Hinges, locks and security doors</v>
      </c>
    </row>
    <row r="70" spans="1:7" hidden="1">
      <c r="A70" s="1" t="s">
        <v>6</v>
      </c>
      <c r="B70" s="1" t="s">
        <v>57</v>
      </c>
      <c r="C70" s="1" t="s">
        <v>94</v>
      </c>
      <c r="D70" t="str">
        <f>VLOOKUP(A70,googleAdCopyOutput!A:C,2,1)</f>
        <v>Fix doors that stick, sag or drag (33)</v>
      </c>
      <c r="E70" t="str">
        <f>VLOOKUP(A70,googleAdCopyOutput!A:C,3,2)</f>
        <v>Hinges, locks and security doors (32)</v>
      </c>
      <c r="F70" t="str">
        <f t="shared" si="2"/>
        <v>Fix doors that stick, sag or drag</v>
      </c>
      <c r="G70" t="str">
        <f t="shared" si="3"/>
        <v>Hinges, locks and security doors</v>
      </c>
    </row>
    <row r="71" spans="1:7" hidden="1">
      <c r="A71" s="1" t="s">
        <v>6</v>
      </c>
      <c r="B71" s="1" t="s">
        <v>57</v>
      </c>
      <c r="C71" s="1" t="s">
        <v>95</v>
      </c>
      <c r="D71" t="str">
        <f>VLOOKUP(A71,googleAdCopyOutput!A:C,2,1)</f>
        <v>Fix doors that stick, sag or drag (33)</v>
      </c>
      <c r="E71" t="str">
        <f>VLOOKUP(A71,googleAdCopyOutput!A:C,3,2)</f>
        <v>Hinges, locks and security doors (32)</v>
      </c>
      <c r="F71" t="str">
        <f t="shared" si="2"/>
        <v>Fix doors that stick, sag or drag</v>
      </c>
      <c r="G71" t="str">
        <f t="shared" si="3"/>
        <v>Hinges, locks and security doors</v>
      </c>
    </row>
    <row r="72" spans="1:7" hidden="1">
      <c r="A72" s="1" t="s">
        <v>9</v>
      </c>
      <c r="B72" s="1" t="s">
        <v>24</v>
      </c>
      <c r="C72" s="1" t="s">
        <v>96</v>
      </c>
      <c r="D72" t="str">
        <f>VLOOKUP(A72,googleAdCopyOutput!A:C,2,1)</f>
        <v>Fix doors that stick, sag or drag (33)</v>
      </c>
      <c r="E72" t="str">
        <f>VLOOKUP(A72,googleAdCopyOutput!A:C,3,2)</f>
        <v>Hinges, locks and security doors (32)</v>
      </c>
      <c r="F72" t="str">
        <f t="shared" si="2"/>
        <v>Fix doors that stick, sag or drag</v>
      </c>
      <c r="G72" t="str">
        <f t="shared" si="3"/>
        <v>Hinges, locks and security doors</v>
      </c>
    </row>
    <row r="73" spans="1:7" hidden="1">
      <c r="A73" s="1" t="s">
        <v>9</v>
      </c>
      <c r="B73" s="1" t="s">
        <v>24</v>
      </c>
      <c r="C73" s="1" t="s">
        <v>97</v>
      </c>
      <c r="D73" t="str">
        <f>VLOOKUP(A73,googleAdCopyOutput!A:C,2,1)</f>
        <v>Fix doors that stick, sag or drag (33)</v>
      </c>
      <c r="E73" t="str">
        <f>VLOOKUP(A73,googleAdCopyOutput!A:C,3,2)</f>
        <v>Hinges, locks and security doors (32)</v>
      </c>
      <c r="F73" t="str">
        <f t="shared" si="2"/>
        <v>Fix doors that stick, sag or drag</v>
      </c>
      <c r="G73" t="str">
        <f t="shared" si="3"/>
        <v>Hinges, locks and security doors</v>
      </c>
    </row>
    <row r="74" spans="1:7" hidden="1">
      <c r="A74" s="1" t="s">
        <v>9</v>
      </c>
      <c r="B74" s="1" t="s">
        <v>24</v>
      </c>
      <c r="C74" s="1" t="s">
        <v>98</v>
      </c>
      <c r="D74" t="str">
        <f>VLOOKUP(A74,googleAdCopyOutput!A:C,2,1)</f>
        <v>Fix doors that stick, sag or drag (33)</v>
      </c>
      <c r="E74" t="str">
        <f>VLOOKUP(A74,googleAdCopyOutput!A:C,3,2)</f>
        <v>Hinges, locks and security doors (32)</v>
      </c>
      <c r="F74" t="str">
        <f t="shared" si="2"/>
        <v>Fix doors that stick, sag or drag</v>
      </c>
      <c r="G74" t="str">
        <f t="shared" si="3"/>
        <v>Hinges, locks and security doors</v>
      </c>
    </row>
    <row r="75" spans="1:7" hidden="1">
      <c r="A75" s="1" t="s">
        <v>9</v>
      </c>
      <c r="B75" s="1" t="s">
        <v>24</v>
      </c>
      <c r="C75" s="1" t="s">
        <v>99</v>
      </c>
      <c r="D75" t="str">
        <f>VLOOKUP(A75,googleAdCopyOutput!A:C,2,1)</f>
        <v>Fix doors that stick, sag or drag (33)</v>
      </c>
      <c r="E75" t="str">
        <f>VLOOKUP(A75,googleAdCopyOutput!A:C,3,2)</f>
        <v>Hinges, locks and security doors (32)</v>
      </c>
      <c r="F75" t="str">
        <f t="shared" si="2"/>
        <v>Fix doors that stick, sag or drag</v>
      </c>
      <c r="G75" t="str">
        <f t="shared" si="3"/>
        <v>Hinges, locks and security doors</v>
      </c>
    </row>
    <row r="76" spans="1:7" hidden="1">
      <c r="A76" s="1" t="s">
        <v>9</v>
      </c>
      <c r="B76" s="1" t="s">
        <v>24</v>
      </c>
      <c r="C76" s="1" t="s">
        <v>100</v>
      </c>
      <c r="D76" t="str">
        <f>VLOOKUP(A76,googleAdCopyOutput!A:C,2,1)</f>
        <v>Fix doors that stick, sag or drag (33)</v>
      </c>
      <c r="E76" t="str">
        <f>VLOOKUP(A76,googleAdCopyOutput!A:C,3,2)</f>
        <v>Hinges, locks and security doors (32)</v>
      </c>
      <c r="F76" t="str">
        <f t="shared" si="2"/>
        <v>Fix doors that stick, sag or drag</v>
      </c>
      <c r="G76" t="str">
        <f t="shared" si="3"/>
        <v>Hinges, locks and security doors</v>
      </c>
    </row>
    <row r="77" spans="1:7" hidden="1">
      <c r="A77" s="1" t="s">
        <v>9</v>
      </c>
      <c r="B77" s="1" t="s">
        <v>24</v>
      </c>
      <c r="C77" s="1" t="s">
        <v>101</v>
      </c>
      <c r="D77" t="str">
        <f>VLOOKUP(A77,googleAdCopyOutput!A:C,2,1)</f>
        <v>Fix doors that stick, sag or drag (33)</v>
      </c>
      <c r="E77" t="str">
        <f>VLOOKUP(A77,googleAdCopyOutput!A:C,3,2)</f>
        <v>Hinges, locks and security doors (32)</v>
      </c>
      <c r="F77" t="str">
        <f t="shared" si="2"/>
        <v>Fix doors that stick, sag or drag</v>
      </c>
      <c r="G77" t="str">
        <f t="shared" si="3"/>
        <v>Hinges, locks and security doors</v>
      </c>
    </row>
    <row r="78" spans="1:7" hidden="1">
      <c r="A78" s="1" t="s">
        <v>9</v>
      </c>
      <c r="B78" s="1" t="s">
        <v>24</v>
      </c>
      <c r="C78" s="1" t="s">
        <v>102</v>
      </c>
      <c r="D78" t="str">
        <f>VLOOKUP(A78,googleAdCopyOutput!A:C,2,1)</f>
        <v>Fix doors that stick, sag or drag (33)</v>
      </c>
      <c r="E78" t="str">
        <f>VLOOKUP(A78,googleAdCopyOutput!A:C,3,2)</f>
        <v>Hinges, locks and security doors (32)</v>
      </c>
      <c r="F78" t="str">
        <f t="shared" si="2"/>
        <v>Fix doors that stick, sag or drag</v>
      </c>
      <c r="G78" t="str">
        <f t="shared" si="3"/>
        <v>Hinges, locks and security doors</v>
      </c>
    </row>
    <row r="79" spans="1:7" hidden="1">
      <c r="A79" s="1" t="s">
        <v>9</v>
      </c>
      <c r="B79" s="1" t="s">
        <v>24</v>
      </c>
      <c r="C79" s="1" t="s">
        <v>103</v>
      </c>
      <c r="D79" t="str">
        <f>VLOOKUP(A79,googleAdCopyOutput!A:C,2,1)</f>
        <v>Fix doors that stick, sag or drag (33)</v>
      </c>
      <c r="E79" t="str">
        <f>VLOOKUP(A79,googleAdCopyOutput!A:C,3,2)</f>
        <v>Hinges, locks and security doors (32)</v>
      </c>
      <c r="F79" t="str">
        <f t="shared" si="2"/>
        <v>Fix doors that stick, sag or drag</v>
      </c>
      <c r="G79" t="str">
        <f t="shared" si="3"/>
        <v>Hinges, locks and security doors</v>
      </c>
    </row>
    <row r="80" spans="1:7" hidden="1">
      <c r="A80" s="1" t="s">
        <v>9</v>
      </c>
      <c r="B80" s="1" t="s">
        <v>24</v>
      </c>
      <c r="C80" s="1" t="s">
        <v>104</v>
      </c>
      <c r="D80" t="str">
        <f>VLOOKUP(A80,googleAdCopyOutput!A:C,2,1)</f>
        <v>Fix doors that stick, sag or drag (33)</v>
      </c>
      <c r="E80" t="str">
        <f>VLOOKUP(A80,googleAdCopyOutput!A:C,3,2)</f>
        <v>Hinges, locks and security doors (32)</v>
      </c>
      <c r="F80" t="str">
        <f t="shared" si="2"/>
        <v>Fix doors that stick, sag or drag</v>
      </c>
      <c r="G80" t="str">
        <f t="shared" si="3"/>
        <v>Hinges, locks and security doors</v>
      </c>
    </row>
    <row r="81" spans="1:7" hidden="1">
      <c r="A81" s="1" t="s">
        <v>9</v>
      </c>
      <c r="B81" s="1" t="s">
        <v>24</v>
      </c>
      <c r="C81" s="1" t="s">
        <v>105</v>
      </c>
      <c r="D81" t="str">
        <f>VLOOKUP(A81,googleAdCopyOutput!A:C,2,1)</f>
        <v>Fix doors that stick, sag or drag (33)</v>
      </c>
      <c r="E81" t="str">
        <f>VLOOKUP(A81,googleAdCopyOutput!A:C,3,2)</f>
        <v>Hinges, locks and security doors (32)</v>
      </c>
      <c r="F81" t="str">
        <f t="shared" si="2"/>
        <v>Fix doors that stick, sag or drag</v>
      </c>
      <c r="G81" t="str">
        <f t="shared" si="3"/>
        <v>Hinges, locks and security doors</v>
      </c>
    </row>
    <row r="82" spans="1:7" hidden="1">
      <c r="A82" s="1" t="s">
        <v>9</v>
      </c>
      <c r="B82" s="1" t="s">
        <v>24</v>
      </c>
      <c r="C82" s="1" t="s">
        <v>106</v>
      </c>
      <c r="D82" t="str">
        <f>VLOOKUP(A82,googleAdCopyOutput!A:C,2,1)</f>
        <v>Fix doors that stick, sag or drag (33)</v>
      </c>
      <c r="E82" t="str">
        <f>VLOOKUP(A82,googleAdCopyOutput!A:C,3,2)</f>
        <v>Hinges, locks and security doors (32)</v>
      </c>
      <c r="F82" t="str">
        <f t="shared" si="2"/>
        <v>Fix doors that stick, sag or drag</v>
      </c>
      <c r="G82" t="str">
        <f t="shared" si="3"/>
        <v>Hinges, locks and security doors</v>
      </c>
    </row>
    <row r="83" spans="1:7" hidden="1">
      <c r="A83" s="1" t="s">
        <v>9</v>
      </c>
      <c r="B83" s="1" t="s">
        <v>24</v>
      </c>
      <c r="C83" s="1" t="s">
        <v>107</v>
      </c>
      <c r="D83" t="str">
        <f>VLOOKUP(A83,googleAdCopyOutput!A:C,2,1)</f>
        <v>Fix doors that stick, sag or drag (33)</v>
      </c>
      <c r="E83" t="str">
        <f>VLOOKUP(A83,googleAdCopyOutput!A:C,3,2)</f>
        <v>Hinges, locks and security doors (32)</v>
      </c>
      <c r="F83" t="str">
        <f t="shared" si="2"/>
        <v>Fix doors that stick, sag or drag</v>
      </c>
      <c r="G83" t="str">
        <f t="shared" si="3"/>
        <v>Hinges, locks and security doors</v>
      </c>
    </row>
    <row r="84" spans="1:7" hidden="1">
      <c r="A84" s="1" t="s">
        <v>9</v>
      </c>
      <c r="B84" s="1" t="s">
        <v>24</v>
      </c>
      <c r="C84" s="1" t="s">
        <v>108</v>
      </c>
      <c r="D84" t="str">
        <f>VLOOKUP(A84,googleAdCopyOutput!A:C,2,1)</f>
        <v>Fix doors that stick, sag or drag (33)</v>
      </c>
      <c r="E84" t="str">
        <f>VLOOKUP(A84,googleAdCopyOutput!A:C,3,2)</f>
        <v>Hinges, locks and security doors (32)</v>
      </c>
      <c r="F84" t="str">
        <f t="shared" si="2"/>
        <v>Fix doors that stick, sag or drag</v>
      </c>
      <c r="G84" t="str">
        <f t="shared" si="3"/>
        <v>Hinges, locks and security doors</v>
      </c>
    </row>
    <row r="85" spans="1:7" hidden="1">
      <c r="A85" s="1" t="s">
        <v>9</v>
      </c>
      <c r="B85" s="1" t="s">
        <v>24</v>
      </c>
      <c r="C85" s="1" t="s">
        <v>109</v>
      </c>
      <c r="D85" t="str">
        <f>VLOOKUP(A85,googleAdCopyOutput!A:C,2,1)</f>
        <v>Fix doors that stick, sag or drag (33)</v>
      </c>
      <c r="E85" t="str">
        <f>VLOOKUP(A85,googleAdCopyOutput!A:C,3,2)</f>
        <v>Hinges, locks and security doors (32)</v>
      </c>
      <c r="F85" t="str">
        <f t="shared" si="2"/>
        <v>Fix doors that stick, sag or drag</v>
      </c>
      <c r="G85" t="str">
        <f t="shared" si="3"/>
        <v>Hinges, locks and security doors</v>
      </c>
    </row>
    <row r="86" spans="1:7" hidden="1">
      <c r="A86" s="1" t="s">
        <v>9</v>
      </c>
      <c r="B86" s="1" t="s">
        <v>24</v>
      </c>
      <c r="C86" s="1" t="s">
        <v>110</v>
      </c>
      <c r="D86" t="str">
        <f>VLOOKUP(A86,googleAdCopyOutput!A:C,2,1)</f>
        <v>Fix doors that stick, sag or drag (33)</v>
      </c>
      <c r="E86" t="str">
        <f>VLOOKUP(A86,googleAdCopyOutput!A:C,3,2)</f>
        <v>Hinges, locks and security doors (32)</v>
      </c>
      <c r="F86" t="str">
        <f t="shared" si="2"/>
        <v>Fix doors that stick, sag or drag</v>
      </c>
      <c r="G86" t="str">
        <f t="shared" si="3"/>
        <v>Hinges, locks and security doors</v>
      </c>
    </row>
    <row r="87" spans="1:7" hidden="1">
      <c r="A87" s="1" t="s">
        <v>9</v>
      </c>
      <c r="B87" s="1" t="s">
        <v>24</v>
      </c>
      <c r="C87" s="1" t="s">
        <v>111</v>
      </c>
      <c r="D87" t="str">
        <f>VLOOKUP(A87,googleAdCopyOutput!A:C,2,1)</f>
        <v>Fix doors that stick, sag or drag (33)</v>
      </c>
      <c r="E87" t="str">
        <f>VLOOKUP(A87,googleAdCopyOutput!A:C,3,2)</f>
        <v>Hinges, locks and security doors (32)</v>
      </c>
      <c r="F87" t="str">
        <f t="shared" si="2"/>
        <v>Fix doors that stick, sag or drag</v>
      </c>
      <c r="G87" t="str">
        <f t="shared" si="3"/>
        <v>Hinges, locks and security doors</v>
      </c>
    </row>
    <row r="88" spans="1:7" hidden="1">
      <c r="A88" s="1" t="s">
        <v>9</v>
      </c>
      <c r="B88" s="1" t="s">
        <v>41</v>
      </c>
      <c r="C88" s="1" t="s">
        <v>112</v>
      </c>
      <c r="D88" t="str">
        <f>VLOOKUP(A88,googleAdCopyOutput!A:C,2,1)</f>
        <v>Fix doors that stick, sag or drag (33)</v>
      </c>
      <c r="E88" t="str">
        <f>VLOOKUP(A88,googleAdCopyOutput!A:C,3,2)</f>
        <v>Hinges, locks and security doors (32)</v>
      </c>
      <c r="F88" t="str">
        <f t="shared" si="2"/>
        <v>Fix doors that stick, sag or drag</v>
      </c>
      <c r="G88" t="str">
        <f t="shared" si="3"/>
        <v>Hinges, locks and security doors</v>
      </c>
    </row>
    <row r="89" spans="1:7" hidden="1">
      <c r="A89" s="1" t="s">
        <v>9</v>
      </c>
      <c r="B89" s="1" t="s">
        <v>41</v>
      </c>
      <c r="C89" s="1" t="s">
        <v>113</v>
      </c>
      <c r="D89" t="str">
        <f>VLOOKUP(A89,googleAdCopyOutput!A:C,2,1)</f>
        <v>Fix doors that stick, sag or drag (33)</v>
      </c>
      <c r="E89" t="str">
        <f>VLOOKUP(A89,googleAdCopyOutput!A:C,3,2)</f>
        <v>Hinges, locks and security doors (32)</v>
      </c>
      <c r="F89" t="str">
        <f t="shared" si="2"/>
        <v>Fix doors that stick, sag or drag</v>
      </c>
      <c r="G89" t="str">
        <f t="shared" si="3"/>
        <v>Hinges, locks and security doors</v>
      </c>
    </row>
    <row r="90" spans="1:7" hidden="1">
      <c r="A90" s="1" t="s">
        <v>9</v>
      </c>
      <c r="B90" s="1" t="s">
        <v>41</v>
      </c>
      <c r="C90" s="1" t="s">
        <v>114</v>
      </c>
      <c r="D90" t="str">
        <f>VLOOKUP(A90,googleAdCopyOutput!A:C,2,1)</f>
        <v>Fix doors that stick, sag or drag (33)</v>
      </c>
      <c r="E90" t="str">
        <f>VLOOKUP(A90,googleAdCopyOutput!A:C,3,2)</f>
        <v>Hinges, locks and security doors (32)</v>
      </c>
      <c r="F90" t="str">
        <f t="shared" si="2"/>
        <v>Fix doors that stick, sag or drag</v>
      </c>
      <c r="G90" t="str">
        <f t="shared" si="3"/>
        <v>Hinges, locks and security doors</v>
      </c>
    </row>
    <row r="91" spans="1:7" hidden="1">
      <c r="A91" s="1" t="s">
        <v>9</v>
      </c>
      <c r="B91" s="1" t="s">
        <v>41</v>
      </c>
      <c r="C91" s="1" t="s">
        <v>115</v>
      </c>
      <c r="D91" t="str">
        <f>VLOOKUP(A91,googleAdCopyOutput!A:C,2,1)</f>
        <v>Fix doors that stick, sag or drag (33)</v>
      </c>
      <c r="E91" t="str">
        <f>VLOOKUP(A91,googleAdCopyOutput!A:C,3,2)</f>
        <v>Hinges, locks and security doors (32)</v>
      </c>
      <c r="F91" t="str">
        <f t="shared" si="2"/>
        <v>Fix doors that stick, sag or drag</v>
      </c>
      <c r="G91" t="str">
        <f t="shared" si="3"/>
        <v>Hinges, locks and security doors</v>
      </c>
    </row>
    <row r="92" spans="1:7" hidden="1">
      <c r="A92" s="1" t="s">
        <v>9</v>
      </c>
      <c r="B92" s="1" t="s">
        <v>41</v>
      </c>
      <c r="C92" s="1" t="s">
        <v>116</v>
      </c>
      <c r="D92" t="str">
        <f>VLOOKUP(A92,googleAdCopyOutput!A:C,2,1)</f>
        <v>Fix doors that stick, sag or drag (33)</v>
      </c>
      <c r="E92" t="str">
        <f>VLOOKUP(A92,googleAdCopyOutput!A:C,3,2)</f>
        <v>Hinges, locks and security doors (32)</v>
      </c>
      <c r="F92" t="str">
        <f t="shared" si="2"/>
        <v>Fix doors that stick, sag or drag</v>
      </c>
      <c r="G92" t="str">
        <f t="shared" si="3"/>
        <v>Hinges, locks and security doors</v>
      </c>
    </row>
    <row r="93" spans="1:7" hidden="1">
      <c r="A93" s="1" t="s">
        <v>9</v>
      </c>
      <c r="B93" s="1" t="s">
        <v>41</v>
      </c>
      <c r="C93" s="1" t="s">
        <v>117</v>
      </c>
      <c r="D93" t="str">
        <f>VLOOKUP(A93,googleAdCopyOutput!A:C,2,1)</f>
        <v>Fix doors that stick, sag or drag (33)</v>
      </c>
      <c r="E93" t="str">
        <f>VLOOKUP(A93,googleAdCopyOutput!A:C,3,2)</f>
        <v>Hinges, locks and security doors (32)</v>
      </c>
      <c r="F93" t="str">
        <f t="shared" si="2"/>
        <v>Fix doors that stick, sag or drag</v>
      </c>
      <c r="G93" t="str">
        <f t="shared" si="3"/>
        <v>Hinges, locks and security doors</v>
      </c>
    </row>
    <row r="94" spans="1:7" hidden="1">
      <c r="A94" s="1" t="s">
        <v>9</v>
      </c>
      <c r="B94" s="1" t="s">
        <v>41</v>
      </c>
      <c r="C94" s="1" t="s">
        <v>118</v>
      </c>
      <c r="D94" t="str">
        <f>VLOOKUP(A94,googleAdCopyOutput!A:C,2,1)</f>
        <v>Fix doors that stick, sag or drag (33)</v>
      </c>
      <c r="E94" t="str">
        <f>VLOOKUP(A94,googleAdCopyOutput!A:C,3,2)</f>
        <v>Hinges, locks and security doors (32)</v>
      </c>
      <c r="F94" t="str">
        <f t="shared" si="2"/>
        <v>Fix doors that stick, sag or drag</v>
      </c>
      <c r="G94" t="str">
        <f t="shared" si="3"/>
        <v>Hinges, locks and security doors</v>
      </c>
    </row>
    <row r="95" spans="1:7" hidden="1">
      <c r="A95" s="1" t="s">
        <v>9</v>
      </c>
      <c r="B95" s="1" t="s">
        <v>41</v>
      </c>
      <c r="C95" s="1" t="s">
        <v>119</v>
      </c>
      <c r="D95" t="str">
        <f>VLOOKUP(A95,googleAdCopyOutput!A:C,2,1)</f>
        <v>Fix doors that stick, sag or drag (33)</v>
      </c>
      <c r="E95" t="str">
        <f>VLOOKUP(A95,googleAdCopyOutput!A:C,3,2)</f>
        <v>Hinges, locks and security doors (32)</v>
      </c>
      <c r="F95" t="str">
        <f t="shared" si="2"/>
        <v>Fix doors that stick, sag or drag</v>
      </c>
      <c r="G95" t="str">
        <f t="shared" si="3"/>
        <v>Hinges, locks and security doors</v>
      </c>
    </row>
    <row r="96" spans="1:7" hidden="1">
      <c r="A96" s="1" t="s">
        <v>9</v>
      </c>
      <c r="B96" s="1" t="s">
        <v>41</v>
      </c>
      <c r="C96" s="1" t="s">
        <v>120</v>
      </c>
      <c r="D96" t="str">
        <f>VLOOKUP(A96,googleAdCopyOutput!A:C,2,1)</f>
        <v>Fix doors that stick, sag or drag (33)</v>
      </c>
      <c r="E96" t="str">
        <f>VLOOKUP(A96,googleAdCopyOutput!A:C,3,2)</f>
        <v>Hinges, locks and security doors (32)</v>
      </c>
      <c r="F96" t="str">
        <f t="shared" si="2"/>
        <v>Fix doors that stick, sag or drag</v>
      </c>
      <c r="G96" t="str">
        <f t="shared" si="3"/>
        <v>Hinges, locks and security doors</v>
      </c>
    </row>
    <row r="97" spans="1:7" hidden="1">
      <c r="A97" s="1" t="s">
        <v>9</v>
      </c>
      <c r="B97" s="1" t="s">
        <v>41</v>
      </c>
      <c r="C97" s="1" t="s">
        <v>121</v>
      </c>
      <c r="D97" t="str">
        <f>VLOOKUP(A97,googleAdCopyOutput!A:C,2,1)</f>
        <v>Fix doors that stick, sag or drag (33)</v>
      </c>
      <c r="E97" t="str">
        <f>VLOOKUP(A97,googleAdCopyOutput!A:C,3,2)</f>
        <v>Hinges, locks and security doors (32)</v>
      </c>
      <c r="F97" t="str">
        <f t="shared" si="2"/>
        <v>Fix doors that stick, sag or drag</v>
      </c>
      <c r="G97" t="str">
        <f t="shared" si="3"/>
        <v>Hinges, locks and security doors</v>
      </c>
    </row>
    <row r="98" spans="1:7" hidden="1">
      <c r="A98" s="1" t="s">
        <v>9</v>
      </c>
      <c r="B98" s="1" t="s">
        <v>41</v>
      </c>
      <c r="C98" s="1" t="s">
        <v>122</v>
      </c>
      <c r="D98" t="str">
        <f>VLOOKUP(A98,googleAdCopyOutput!A:C,2,1)</f>
        <v>Fix doors that stick, sag or drag (33)</v>
      </c>
      <c r="E98" t="str">
        <f>VLOOKUP(A98,googleAdCopyOutput!A:C,3,2)</f>
        <v>Hinges, locks and security doors (32)</v>
      </c>
      <c r="F98" t="str">
        <f t="shared" si="2"/>
        <v>Fix doors that stick, sag or drag</v>
      </c>
      <c r="G98" t="str">
        <f t="shared" si="3"/>
        <v>Hinges, locks and security doors</v>
      </c>
    </row>
    <row r="99" spans="1:7" hidden="1">
      <c r="A99" s="1" t="s">
        <v>9</v>
      </c>
      <c r="B99" s="1" t="s">
        <v>41</v>
      </c>
      <c r="C99" s="1" t="s">
        <v>123</v>
      </c>
      <c r="D99" t="str">
        <f>VLOOKUP(A99,googleAdCopyOutput!A:C,2,1)</f>
        <v>Fix doors that stick, sag or drag (33)</v>
      </c>
      <c r="E99" t="str">
        <f>VLOOKUP(A99,googleAdCopyOutput!A:C,3,2)</f>
        <v>Hinges, locks and security doors (32)</v>
      </c>
      <c r="F99" t="str">
        <f t="shared" si="2"/>
        <v>Fix doors that stick, sag or drag</v>
      </c>
      <c r="G99" t="str">
        <f t="shared" si="3"/>
        <v>Hinges, locks and security doors</v>
      </c>
    </row>
    <row r="100" spans="1:7" hidden="1">
      <c r="A100" s="1" t="s">
        <v>9</v>
      </c>
      <c r="B100" s="1" t="s">
        <v>41</v>
      </c>
      <c r="C100" s="1" t="s">
        <v>124</v>
      </c>
      <c r="D100" t="str">
        <f>VLOOKUP(A100,googleAdCopyOutput!A:C,2,1)</f>
        <v>Fix doors that stick, sag or drag (33)</v>
      </c>
      <c r="E100" t="str">
        <f>VLOOKUP(A100,googleAdCopyOutput!A:C,3,2)</f>
        <v>Hinges, locks and security doors (32)</v>
      </c>
      <c r="F100" t="str">
        <f t="shared" si="2"/>
        <v>Fix doors that stick, sag or drag</v>
      </c>
      <c r="G100" t="str">
        <f t="shared" si="3"/>
        <v>Hinges, locks and security doors</v>
      </c>
    </row>
    <row r="101" spans="1:7" hidden="1">
      <c r="A101" s="1" t="s">
        <v>9</v>
      </c>
      <c r="B101" s="1" t="s">
        <v>41</v>
      </c>
      <c r="C101" s="1" t="s">
        <v>125</v>
      </c>
      <c r="D101" t="str">
        <f>VLOOKUP(A101,googleAdCopyOutput!A:C,2,1)</f>
        <v>Fix doors that stick, sag or drag (33)</v>
      </c>
      <c r="E101" t="str">
        <f>VLOOKUP(A101,googleAdCopyOutput!A:C,3,2)</f>
        <v>Hinges, locks and security doors (32)</v>
      </c>
      <c r="F101" t="str">
        <f t="shared" si="2"/>
        <v>Fix doors that stick, sag or drag</v>
      </c>
      <c r="G101" t="str">
        <f t="shared" si="3"/>
        <v>Hinges, locks and security doors</v>
      </c>
    </row>
    <row r="102" spans="1:7" hidden="1">
      <c r="A102" s="1" t="s">
        <v>9</v>
      </c>
      <c r="B102" s="1" t="s">
        <v>41</v>
      </c>
      <c r="C102" s="1" t="s">
        <v>126</v>
      </c>
      <c r="D102" t="str">
        <f>VLOOKUP(A102,googleAdCopyOutput!A:C,2,1)</f>
        <v>Fix doors that stick, sag or drag (33)</v>
      </c>
      <c r="E102" t="str">
        <f>VLOOKUP(A102,googleAdCopyOutput!A:C,3,2)</f>
        <v>Hinges, locks and security doors (32)</v>
      </c>
      <c r="F102" t="str">
        <f t="shared" si="2"/>
        <v>Fix doors that stick, sag or drag</v>
      </c>
      <c r="G102" t="str">
        <f t="shared" si="3"/>
        <v>Hinges, locks and security doors</v>
      </c>
    </row>
    <row r="103" spans="1:7" hidden="1">
      <c r="A103" s="1" t="s">
        <v>9</v>
      </c>
      <c r="B103" s="1" t="s">
        <v>57</v>
      </c>
      <c r="C103" s="1" t="s">
        <v>127</v>
      </c>
      <c r="D103" t="str">
        <f>VLOOKUP(A103,googleAdCopyOutput!A:C,2,1)</f>
        <v>Fix doors that stick, sag or drag (33)</v>
      </c>
      <c r="E103" t="str">
        <f>VLOOKUP(A103,googleAdCopyOutput!A:C,3,2)</f>
        <v>Hinges, locks and security doors (32)</v>
      </c>
      <c r="F103" t="str">
        <f t="shared" si="2"/>
        <v>Fix doors that stick, sag or drag</v>
      </c>
      <c r="G103" t="str">
        <f t="shared" si="3"/>
        <v>Hinges, locks and security doors</v>
      </c>
    </row>
    <row r="104" spans="1:7" hidden="1">
      <c r="A104" s="1" t="s">
        <v>9</v>
      </c>
      <c r="B104" s="1" t="s">
        <v>57</v>
      </c>
      <c r="C104" s="1" t="s">
        <v>128</v>
      </c>
      <c r="D104" t="str">
        <f>VLOOKUP(A104,googleAdCopyOutput!A:C,2,1)</f>
        <v>Fix doors that stick, sag or drag (33)</v>
      </c>
      <c r="E104" t="str">
        <f>VLOOKUP(A104,googleAdCopyOutput!A:C,3,2)</f>
        <v>Hinges, locks and security doors (32)</v>
      </c>
      <c r="F104" t="str">
        <f t="shared" si="2"/>
        <v>Fix doors that stick, sag or drag</v>
      </c>
      <c r="G104" t="str">
        <f t="shared" si="3"/>
        <v>Hinges, locks and security doors</v>
      </c>
    </row>
    <row r="105" spans="1:7" hidden="1">
      <c r="A105" s="1" t="s">
        <v>9</v>
      </c>
      <c r="B105" s="1" t="s">
        <v>57</v>
      </c>
      <c r="C105" s="1" t="s">
        <v>129</v>
      </c>
      <c r="D105" t="str">
        <f>VLOOKUP(A105,googleAdCopyOutput!A:C,2,1)</f>
        <v>Fix doors that stick, sag or drag (33)</v>
      </c>
      <c r="E105" t="str">
        <f>VLOOKUP(A105,googleAdCopyOutput!A:C,3,2)</f>
        <v>Hinges, locks and security doors (32)</v>
      </c>
      <c r="F105" t="str">
        <f t="shared" si="2"/>
        <v>Fix doors that stick, sag or drag</v>
      </c>
      <c r="G105" t="str">
        <f t="shared" si="3"/>
        <v>Hinges, locks and security doors</v>
      </c>
    </row>
    <row r="106" spans="1:7" hidden="1">
      <c r="A106" s="1" t="s">
        <v>9</v>
      </c>
      <c r="B106" s="1" t="s">
        <v>57</v>
      </c>
      <c r="C106" s="1" t="s">
        <v>130</v>
      </c>
      <c r="D106" t="str">
        <f>VLOOKUP(A106,googleAdCopyOutput!A:C,2,1)</f>
        <v>Fix doors that stick, sag or drag (33)</v>
      </c>
      <c r="E106" t="str">
        <f>VLOOKUP(A106,googleAdCopyOutput!A:C,3,2)</f>
        <v>Hinges, locks and security doors (32)</v>
      </c>
      <c r="F106" t="str">
        <f t="shared" si="2"/>
        <v>Fix doors that stick, sag or drag</v>
      </c>
      <c r="G106" t="str">
        <f t="shared" si="3"/>
        <v>Hinges, locks and security doors</v>
      </c>
    </row>
    <row r="107" spans="1:7" hidden="1">
      <c r="A107" s="1" t="s">
        <v>12</v>
      </c>
      <c r="B107" s="1" t="s">
        <v>24</v>
      </c>
      <c r="C107" s="1" t="s">
        <v>131</v>
      </c>
      <c r="D107" t="str">
        <f>VLOOKUP(A107,googleAdCopyOutput!A:C,2,1)</f>
        <v>Bundle several repairs in one visit (35)</v>
      </c>
      <c r="E107" t="str">
        <f>VLOOKUP(A107,googleAdCopyOutput!A:C,3,2)</f>
        <v>Move-in, turnover and fix-up work (33)</v>
      </c>
      <c r="F107" t="str">
        <f t="shared" si="2"/>
        <v>Bundle several repairs in one visit</v>
      </c>
      <c r="G107" t="str">
        <f t="shared" si="3"/>
        <v>Move-in, turnover and fix-up work</v>
      </c>
    </row>
    <row r="108" spans="1:7" hidden="1">
      <c r="A108" s="1" t="s">
        <v>12</v>
      </c>
      <c r="B108" s="1" t="s">
        <v>24</v>
      </c>
      <c r="C108" s="1" t="s">
        <v>132</v>
      </c>
      <c r="D108" t="str">
        <f>VLOOKUP(A108,googleAdCopyOutput!A:C,2,1)</f>
        <v>Bundle several repairs in one visit (35)</v>
      </c>
      <c r="E108" t="str">
        <f>VLOOKUP(A108,googleAdCopyOutput!A:C,3,2)</f>
        <v>Move-in, turnover and fix-up work (33)</v>
      </c>
      <c r="F108" t="str">
        <f t="shared" si="2"/>
        <v>Bundle several repairs in one visit</v>
      </c>
      <c r="G108" t="str">
        <f t="shared" si="3"/>
        <v>Move-in, turnover and fix-up work</v>
      </c>
    </row>
    <row r="109" spans="1:7" hidden="1">
      <c r="A109" s="1" t="s">
        <v>12</v>
      </c>
      <c r="B109" s="1" t="s">
        <v>24</v>
      </c>
      <c r="C109" s="1" t="s">
        <v>133</v>
      </c>
      <c r="D109" t="str">
        <f>VLOOKUP(A109,googleAdCopyOutput!A:C,2,1)</f>
        <v>Bundle several repairs in one visit (35)</v>
      </c>
      <c r="E109" t="str">
        <f>VLOOKUP(A109,googleAdCopyOutput!A:C,3,2)</f>
        <v>Move-in, turnover and fix-up work (33)</v>
      </c>
      <c r="F109" t="str">
        <f t="shared" si="2"/>
        <v>Bundle several repairs in one visit</v>
      </c>
      <c r="G109" t="str">
        <f t="shared" si="3"/>
        <v>Move-in, turnover and fix-up work</v>
      </c>
    </row>
    <row r="110" spans="1:7" hidden="1">
      <c r="A110" s="1" t="s">
        <v>12</v>
      </c>
      <c r="B110" s="1" t="s">
        <v>24</v>
      </c>
      <c r="C110" s="1" t="s">
        <v>134</v>
      </c>
      <c r="D110" t="str">
        <f>VLOOKUP(A110,googleAdCopyOutput!A:C,2,1)</f>
        <v>Bundle several repairs in one visit (35)</v>
      </c>
      <c r="E110" t="str">
        <f>VLOOKUP(A110,googleAdCopyOutput!A:C,3,2)</f>
        <v>Move-in, turnover and fix-up work (33)</v>
      </c>
      <c r="F110" t="str">
        <f t="shared" si="2"/>
        <v>Bundle several repairs in one visit</v>
      </c>
      <c r="G110" t="str">
        <f t="shared" si="3"/>
        <v>Move-in, turnover and fix-up work</v>
      </c>
    </row>
    <row r="111" spans="1:7" hidden="1">
      <c r="A111" s="1" t="s">
        <v>12</v>
      </c>
      <c r="B111" s="1" t="s">
        <v>24</v>
      </c>
      <c r="C111" s="1" t="s">
        <v>135</v>
      </c>
      <c r="D111" t="str">
        <f>VLOOKUP(A111,googleAdCopyOutput!A:C,2,1)</f>
        <v>Bundle several repairs in one visit (35)</v>
      </c>
      <c r="E111" t="str">
        <f>VLOOKUP(A111,googleAdCopyOutput!A:C,3,2)</f>
        <v>Move-in, turnover and fix-up work (33)</v>
      </c>
      <c r="F111" t="str">
        <f t="shared" si="2"/>
        <v>Bundle several repairs in one visit</v>
      </c>
      <c r="G111" t="str">
        <f t="shared" si="3"/>
        <v>Move-in, turnover and fix-up work</v>
      </c>
    </row>
    <row r="112" spans="1:7" hidden="1">
      <c r="A112" s="1" t="s">
        <v>12</v>
      </c>
      <c r="B112" s="1" t="s">
        <v>24</v>
      </c>
      <c r="C112" s="1" t="s">
        <v>136</v>
      </c>
      <c r="D112" t="str">
        <f>VLOOKUP(A112,googleAdCopyOutput!A:C,2,1)</f>
        <v>Bundle several repairs in one visit (35)</v>
      </c>
      <c r="E112" t="str">
        <f>VLOOKUP(A112,googleAdCopyOutput!A:C,3,2)</f>
        <v>Move-in, turnover and fix-up work (33)</v>
      </c>
      <c r="F112" t="str">
        <f t="shared" si="2"/>
        <v>Bundle several repairs in one visit</v>
      </c>
      <c r="G112" t="str">
        <f t="shared" si="3"/>
        <v>Move-in, turnover and fix-up work</v>
      </c>
    </row>
    <row r="113" spans="1:7" hidden="1">
      <c r="A113" s="1" t="s">
        <v>12</v>
      </c>
      <c r="B113" s="1" t="s">
        <v>24</v>
      </c>
      <c r="C113" s="1" t="s">
        <v>137</v>
      </c>
      <c r="D113" t="str">
        <f>VLOOKUP(A113,googleAdCopyOutput!A:C,2,1)</f>
        <v>Bundle several repairs in one visit (35)</v>
      </c>
      <c r="E113" t="str">
        <f>VLOOKUP(A113,googleAdCopyOutput!A:C,3,2)</f>
        <v>Move-in, turnover and fix-up work (33)</v>
      </c>
      <c r="F113" t="str">
        <f t="shared" si="2"/>
        <v>Bundle several repairs in one visit</v>
      </c>
      <c r="G113" t="str">
        <f t="shared" si="3"/>
        <v>Move-in, turnover and fix-up work</v>
      </c>
    </row>
    <row r="114" spans="1:7" hidden="1">
      <c r="A114" s="1" t="s">
        <v>12</v>
      </c>
      <c r="B114" s="1" t="s">
        <v>24</v>
      </c>
      <c r="C114" s="1" t="s">
        <v>138</v>
      </c>
      <c r="D114" t="str">
        <f>VLOOKUP(A114,googleAdCopyOutput!A:C,2,1)</f>
        <v>Bundle several repairs in one visit (35)</v>
      </c>
      <c r="E114" t="str">
        <f>VLOOKUP(A114,googleAdCopyOutput!A:C,3,2)</f>
        <v>Move-in, turnover and fix-up work (33)</v>
      </c>
      <c r="F114" t="str">
        <f t="shared" si="2"/>
        <v>Bundle several repairs in one visit</v>
      </c>
      <c r="G114" t="str">
        <f t="shared" si="3"/>
        <v>Move-in, turnover and fix-up work</v>
      </c>
    </row>
    <row r="115" spans="1:7" hidden="1">
      <c r="A115" s="1" t="s">
        <v>12</v>
      </c>
      <c r="B115" s="1" t="s">
        <v>24</v>
      </c>
      <c r="C115" s="1" t="s">
        <v>139</v>
      </c>
      <c r="D115" t="str">
        <f>VLOOKUP(A115,googleAdCopyOutput!A:C,2,1)</f>
        <v>Bundle several repairs in one visit (35)</v>
      </c>
      <c r="E115" t="str">
        <f>VLOOKUP(A115,googleAdCopyOutput!A:C,3,2)</f>
        <v>Move-in, turnover and fix-up work (33)</v>
      </c>
      <c r="F115" t="str">
        <f t="shared" si="2"/>
        <v>Bundle several repairs in one visit</v>
      </c>
      <c r="G115" t="str">
        <f t="shared" si="3"/>
        <v>Move-in, turnover and fix-up work</v>
      </c>
    </row>
    <row r="116" spans="1:7" hidden="1">
      <c r="A116" s="1" t="s">
        <v>12</v>
      </c>
      <c r="B116" s="1" t="s">
        <v>24</v>
      </c>
      <c r="C116" s="1" t="s">
        <v>140</v>
      </c>
      <c r="D116" t="str">
        <f>VLOOKUP(A116,googleAdCopyOutput!A:C,2,1)</f>
        <v>Bundle several repairs in one visit (35)</v>
      </c>
      <c r="E116" t="str">
        <f>VLOOKUP(A116,googleAdCopyOutput!A:C,3,2)</f>
        <v>Move-in, turnover and fix-up work (33)</v>
      </c>
      <c r="F116" t="str">
        <f t="shared" si="2"/>
        <v>Bundle several repairs in one visit</v>
      </c>
      <c r="G116" t="str">
        <f t="shared" si="3"/>
        <v>Move-in, turnover and fix-up work</v>
      </c>
    </row>
    <row r="117" spans="1:7" hidden="1">
      <c r="A117" s="1" t="s">
        <v>12</v>
      </c>
      <c r="B117" s="1" t="s">
        <v>24</v>
      </c>
      <c r="C117" s="1" t="s">
        <v>141</v>
      </c>
      <c r="D117" t="str">
        <f>VLOOKUP(A117,googleAdCopyOutput!A:C,2,1)</f>
        <v>Bundle several repairs in one visit (35)</v>
      </c>
      <c r="E117" t="str">
        <f>VLOOKUP(A117,googleAdCopyOutput!A:C,3,2)</f>
        <v>Move-in, turnover and fix-up work (33)</v>
      </c>
      <c r="F117" t="str">
        <f t="shared" si="2"/>
        <v>Bundle several repairs in one visit</v>
      </c>
      <c r="G117" t="str">
        <f t="shared" si="3"/>
        <v>Move-in, turnover and fix-up work</v>
      </c>
    </row>
    <row r="118" spans="1:7" hidden="1">
      <c r="A118" s="1" t="s">
        <v>12</v>
      </c>
      <c r="B118" s="1" t="s">
        <v>24</v>
      </c>
      <c r="C118" s="1" t="s">
        <v>142</v>
      </c>
      <c r="D118" t="str">
        <f>VLOOKUP(A118,googleAdCopyOutput!A:C,2,1)</f>
        <v>Bundle several repairs in one visit (35)</v>
      </c>
      <c r="E118" t="str">
        <f>VLOOKUP(A118,googleAdCopyOutput!A:C,3,2)</f>
        <v>Move-in, turnover and fix-up work (33)</v>
      </c>
      <c r="F118" t="str">
        <f t="shared" si="2"/>
        <v>Bundle several repairs in one visit</v>
      </c>
      <c r="G118" t="str">
        <f t="shared" si="3"/>
        <v>Move-in, turnover and fix-up work</v>
      </c>
    </row>
    <row r="119" spans="1:7" hidden="1">
      <c r="A119" s="1" t="s">
        <v>12</v>
      </c>
      <c r="B119" s="1" t="s">
        <v>24</v>
      </c>
      <c r="C119" s="1" t="s">
        <v>143</v>
      </c>
      <c r="D119" t="str">
        <f>VLOOKUP(A119,googleAdCopyOutput!A:C,2,1)</f>
        <v>Bundle several repairs in one visit (35)</v>
      </c>
      <c r="E119" t="str">
        <f>VLOOKUP(A119,googleAdCopyOutput!A:C,3,2)</f>
        <v>Move-in, turnover and fix-up work (33)</v>
      </c>
      <c r="F119" t="str">
        <f t="shared" si="2"/>
        <v>Bundle several repairs in one visit</v>
      </c>
      <c r="G119" t="str">
        <f t="shared" si="3"/>
        <v>Move-in, turnover and fix-up work</v>
      </c>
    </row>
    <row r="120" spans="1:7" hidden="1">
      <c r="A120" s="1" t="s">
        <v>12</v>
      </c>
      <c r="B120" s="1" t="s">
        <v>24</v>
      </c>
      <c r="C120" s="1" t="s">
        <v>144</v>
      </c>
      <c r="D120" t="str">
        <f>VLOOKUP(A120,googleAdCopyOutput!A:C,2,1)</f>
        <v>Bundle several repairs in one visit (35)</v>
      </c>
      <c r="E120" t="str">
        <f>VLOOKUP(A120,googleAdCopyOutput!A:C,3,2)</f>
        <v>Move-in, turnover and fix-up work (33)</v>
      </c>
      <c r="F120" t="str">
        <f t="shared" si="2"/>
        <v>Bundle several repairs in one visit</v>
      </c>
      <c r="G120" t="str">
        <f t="shared" si="3"/>
        <v>Move-in, turnover and fix-up work</v>
      </c>
    </row>
    <row r="121" spans="1:7" hidden="1">
      <c r="A121" s="1" t="s">
        <v>12</v>
      </c>
      <c r="B121" s="1" t="s">
        <v>24</v>
      </c>
      <c r="C121" s="1" t="s">
        <v>145</v>
      </c>
      <c r="D121" t="str">
        <f>VLOOKUP(A121,googleAdCopyOutput!A:C,2,1)</f>
        <v>Bundle several repairs in one visit (35)</v>
      </c>
      <c r="E121" t="str">
        <f>VLOOKUP(A121,googleAdCopyOutput!A:C,3,2)</f>
        <v>Move-in, turnover and fix-up work (33)</v>
      </c>
      <c r="F121" t="str">
        <f t="shared" si="2"/>
        <v>Bundle several repairs in one visit</v>
      </c>
      <c r="G121" t="str">
        <f t="shared" si="3"/>
        <v>Move-in, turnover and fix-up work</v>
      </c>
    </row>
    <row r="122" spans="1:7" hidden="1">
      <c r="A122" s="1" t="s">
        <v>12</v>
      </c>
      <c r="B122" s="1" t="s">
        <v>24</v>
      </c>
      <c r="C122" s="1" t="s">
        <v>146</v>
      </c>
      <c r="D122" t="str">
        <f>VLOOKUP(A122,googleAdCopyOutput!A:C,2,1)</f>
        <v>Bundle several repairs in one visit (35)</v>
      </c>
      <c r="E122" t="str">
        <f>VLOOKUP(A122,googleAdCopyOutput!A:C,3,2)</f>
        <v>Move-in, turnover and fix-up work (33)</v>
      </c>
      <c r="F122" t="str">
        <f t="shared" si="2"/>
        <v>Bundle several repairs in one visit</v>
      </c>
      <c r="G122" t="str">
        <f t="shared" si="3"/>
        <v>Move-in, turnover and fix-up work</v>
      </c>
    </row>
    <row r="123" spans="1:7" hidden="1">
      <c r="A123" s="1" t="s">
        <v>12</v>
      </c>
      <c r="B123" s="1" t="s">
        <v>41</v>
      </c>
      <c r="C123" s="1" t="s">
        <v>147</v>
      </c>
      <c r="D123" t="str">
        <f>VLOOKUP(A123,googleAdCopyOutput!A:C,2,1)</f>
        <v>Bundle several repairs in one visit (35)</v>
      </c>
      <c r="E123" t="str">
        <f>VLOOKUP(A123,googleAdCopyOutput!A:C,3,2)</f>
        <v>Move-in, turnover and fix-up work (33)</v>
      </c>
      <c r="F123" t="str">
        <f t="shared" si="2"/>
        <v>Bundle several repairs in one visit</v>
      </c>
      <c r="G123" t="str">
        <f t="shared" si="3"/>
        <v>Move-in, turnover and fix-up work</v>
      </c>
    </row>
    <row r="124" spans="1:7" hidden="1">
      <c r="A124" s="1" t="s">
        <v>12</v>
      </c>
      <c r="B124" s="1" t="s">
        <v>41</v>
      </c>
      <c r="C124" s="1" t="s">
        <v>148</v>
      </c>
      <c r="D124" t="str">
        <f>VLOOKUP(A124,googleAdCopyOutput!A:C,2,1)</f>
        <v>Bundle several repairs in one visit (35)</v>
      </c>
      <c r="E124" t="str">
        <f>VLOOKUP(A124,googleAdCopyOutput!A:C,3,2)</f>
        <v>Move-in, turnover and fix-up work (33)</v>
      </c>
      <c r="F124" t="str">
        <f t="shared" si="2"/>
        <v>Bundle several repairs in one visit</v>
      </c>
      <c r="G124" t="str">
        <f t="shared" si="3"/>
        <v>Move-in, turnover and fix-up work</v>
      </c>
    </row>
    <row r="125" spans="1:7" hidden="1">
      <c r="A125" s="1" t="s">
        <v>12</v>
      </c>
      <c r="B125" s="1" t="s">
        <v>41</v>
      </c>
      <c r="C125" s="1" t="s">
        <v>149</v>
      </c>
      <c r="D125" t="str">
        <f>VLOOKUP(A125,googleAdCopyOutput!A:C,2,1)</f>
        <v>Bundle several repairs in one visit (35)</v>
      </c>
      <c r="E125" t="str">
        <f>VLOOKUP(A125,googleAdCopyOutput!A:C,3,2)</f>
        <v>Move-in, turnover and fix-up work (33)</v>
      </c>
      <c r="F125" t="str">
        <f t="shared" si="2"/>
        <v>Bundle several repairs in one visit</v>
      </c>
      <c r="G125" t="str">
        <f t="shared" si="3"/>
        <v>Move-in, turnover and fix-up work</v>
      </c>
    </row>
    <row r="126" spans="1:7" hidden="1">
      <c r="A126" s="1" t="s">
        <v>12</v>
      </c>
      <c r="B126" s="1" t="s">
        <v>41</v>
      </c>
      <c r="C126" s="1" t="s">
        <v>150</v>
      </c>
      <c r="D126" t="str">
        <f>VLOOKUP(A126,googleAdCopyOutput!A:C,2,1)</f>
        <v>Bundle several repairs in one visit (35)</v>
      </c>
      <c r="E126" t="str">
        <f>VLOOKUP(A126,googleAdCopyOutput!A:C,3,2)</f>
        <v>Move-in, turnover and fix-up work (33)</v>
      </c>
      <c r="F126" t="str">
        <f t="shared" si="2"/>
        <v>Bundle several repairs in one visit</v>
      </c>
      <c r="G126" t="str">
        <f t="shared" si="3"/>
        <v>Move-in, turnover and fix-up work</v>
      </c>
    </row>
    <row r="127" spans="1:7" hidden="1">
      <c r="A127" s="1" t="s">
        <v>12</v>
      </c>
      <c r="B127" s="1" t="s">
        <v>41</v>
      </c>
      <c r="C127" s="1" t="s">
        <v>151</v>
      </c>
      <c r="D127" t="str">
        <f>VLOOKUP(A127,googleAdCopyOutput!A:C,2,1)</f>
        <v>Bundle several repairs in one visit (35)</v>
      </c>
      <c r="E127" t="str">
        <f>VLOOKUP(A127,googleAdCopyOutput!A:C,3,2)</f>
        <v>Move-in, turnover and fix-up work (33)</v>
      </c>
      <c r="F127" t="str">
        <f t="shared" si="2"/>
        <v>Bundle several repairs in one visit</v>
      </c>
      <c r="G127" t="str">
        <f t="shared" si="3"/>
        <v>Move-in, turnover and fix-up work</v>
      </c>
    </row>
    <row r="128" spans="1:7" hidden="1">
      <c r="A128" s="1" t="s">
        <v>12</v>
      </c>
      <c r="B128" s="1" t="s">
        <v>41</v>
      </c>
      <c r="C128" s="1" t="s">
        <v>152</v>
      </c>
      <c r="D128" t="str">
        <f>VLOOKUP(A128,googleAdCopyOutput!A:C,2,1)</f>
        <v>Bundle several repairs in one visit (35)</v>
      </c>
      <c r="E128" t="str">
        <f>VLOOKUP(A128,googleAdCopyOutput!A:C,3,2)</f>
        <v>Move-in, turnover and fix-up work (33)</v>
      </c>
      <c r="F128" t="str">
        <f t="shared" si="2"/>
        <v>Bundle several repairs in one visit</v>
      </c>
      <c r="G128" t="str">
        <f t="shared" si="3"/>
        <v>Move-in, turnover and fix-up work</v>
      </c>
    </row>
    <row r="129" spans="1:7" hidden="1">
      <c r="A129" s="1" t="s">
        <v>12</v>
      </c>
      <c r="B129" s="1" t="s">
        <v>41</v>
      </c>
      <c r="C129" s="1" t="s">
        <v>153</v>
      </c>
      <c r="D129" t="str">
        <f>VLOOKUP(A129,googleAdCopyOutput!A:C,2,1)</f>
        <v>Bundle several repairs in one visit (35)</v>
      </c>
      <c r="E129" t="str">
        <f>VLOOKUP(A129,googleAdCopyOutput!A:C,3,2)</f>
        <v>Move-in, turnover and fix-up work (33)</v>
      </c>
      <c r="F129" t="str">
        <f t="shared" si="2"/>
        <v>Bundle several repairs in one visit</v>
      </c>
      <c r="G129" t="str">
        <f t="shared" si="3"/>
        <v>Move-in, turnover and fix-up work</v>
      </c>
    </row>
    <row r="130" spans="1:7" hidden="1">
      <c r="A130" s="1" t="s">
        <v>12</v>
      </c>
      <c r="B130" s="1" t="s">
        <v>41</v>
      </c>
      <c r="C130" s="1" t="s">
        <v>154</v>
      </c>
      <c r="D130" t="str">
        <f>VLOOKUP(A130,googleAdCopyOutput!A:C,2,1)</f>
        <v>Bundle several repairs in one visit (35)</v>
      </c>
      <c r="E130" t="str">
        <f>VLOOKUP(A130,googleAdCopyOutput!A:C,3,2)</f>
        <v>Move-in, turnover and fix-up work (33)</v>
      </c>
      <c r="F130" t="str">
        <f t="shared" si="2"/>
        <v>Bundle several repairs in one visit</v>
      </c>
      <c r="G130" t="str">
        <f t="shared" si="3"/>
        <v>Move-in, turnover and fix-up work</v>
      </c>
    </row>
    <row r="131" spans="1:7" hidden="1">
      <c r="A131" s="1" t="s">
        <v>12</v>
      </c>
      <c r="B131" s="1" t="s">
        <v>41</v>
      </c>
      <c r="C131" s="1" t="s">
        <v>155</v>
      </c>
      <c r="D131" t="str">
        <f>VLOOKUP(A131,googleAdCopyOutput!A:C,2,1)</f>
        <v>Bundle several repairs in one visit (35)</v>
      </c>
      <c r="E131" t="str">
        <f>VLOOKUP(A131,googleAdCopyOutput!A:C,3,2)</f>
        <v>Move-in, turnover and fix-up work (33)</v>
      </c>
      <c r="F131" t="str">
        <f t="shared" ref="F131:F194" si="4">LEFT(D131,LEN(D131)-5)</f>
        <v>Bundle several repairs in one visit</v>
      </c>
      <c r="G131" t="str">
        <f t="shared" ref="G131:G194" si="5">LEFT(E131,LEN(E131)-5)</f>
        <v>Move-in, turnover and fix-up work</v>
      </c>
    </row>
    <row r="132" spans="1:7" hidden="1">
      <c r="A132" s="1" t="s">
        <v>12</v>
      </c>
      <c r="B132" s="1" t="s">
        <v>41</v>
      </c>
      <c r="C132" s="1" t="s">
        <v>156</v>
      </c>
      <c r="D132" t="str">
        <f>VLOOKUP(A132,googleAdCopyOutput!A:C,2,1)</f>
        <v>Bundle several repairs in one visit (35)</v>
      </c>
      <c r="E132" t="str">
        <f>VLOOKUP(A132,googleAdCopyOutput!A:C,3,2)</f>
        <v>Move-in, turnover and fix-up work (33)</v>
      </c>
      <c r="F132" t="str">
        <f t="shared" si="4"/>
        <v>Bundle several repairs in one visit</v>
      </c>
      <c r="G132" t="str">
        <f t="shared" si="5"/>
        <v>Move-in, turnover and fix-up work</v>
      </c>
    </row>
    <row r="133" spans="1:7" hidden="1">
      <c r="A133" s="1" t="s">
        <v>12</v>
      </c>
      <c r="B133" s="1" t="s">
        <v>41</v>
      </c>
      <c r="C133" s="1" t="s">
        <v>157</v>
      </c>
      <c r="D133" t="str">
        <f>VLOOKUP(A133,googleAdCopyOutput!A:C,2,1)</f>
        <v>Bundle several repairs in one visit (35)</v>
      </c>
      <c r="E133" t="str">
        <f>VLOOKUP(A133,googleAdCopyOutput!A:C,3,2)</f>
        <v>Move-in, turnover and fix-up work (33)</v>
      </c>
      <c r="F133" t="str">
        <f t="shared" si="4"/>
        <v>Bundle several repairs in one visit</v>
      </c>
      <c r="G133" t="str">
        <f t="shared" si="5"/>
        <v>Move-in, turnover and fix-up work</v>
      </c>
    </row>
    <row r="134" spans="1:7" hidden="1">
      <c r="A134" s="1" t="s">
        <v>12</v>
      </c>
      <c r="B134" s="1" t="s">
        <v>41</v>
      </c>
      <c r="C134" s="1" t="s">
        <v>158</v>
      </c>
      <c r="D134" t="str">
        <f>VLOOKUP(A134,googleAdCopyOutput!A:C,2,1)</f>
        <v>Bundle several repairs in one visit (35)</v>
      </c>
      <c r="E134" t="str">
        <f>VLOOKUP(A134,googleAdCopyOutput!A:C,3,2)</f>
        <v>Move-in, turnover and fix-up work (33)</v>
      </c>
      <c r="F134" t="str">
        <f t="shared" si="4"/>
        <v>Bundle several repairs in one visit</v>
      </c>
      <c r="G134" t="str">
        <f t="shared" si="5"/>
        <v>Move-in, turnover and fix-up work</v>
      </c>
    </row>
    <row r="135" spans="1:7" hidden="1">
      <c r="A135" s="1" t="s">
        <v>12</v>
      </c>
      <c r="B135" s="1" t="s">
        <v>41</v>
      </c>
      <c r="C135" s="1" t="s">
        <v>159</v>
      </c>
      <c r="D135" t="str">
        <f>VLOOKUP(A135,googleAdCopyOutput!A:C,2,1)</f>
        <v>Bundle several repairs in one visit (35)</v>
      </c>
      <c r="E135" t="str">
        <f>VLOOKUP(A135,googleAdCopyOutput!A:C,3,2)</f>
        <v>Move-in, turnover and fix-up work (33)</v>
      </c>
      <c r="F135" t="str">
        <f t="shared" si="4"/>
        <v>Bundle several repairs in one visit</v>
      </c>
      <c r="G135" t="str">
        <f t="shared" si="5"/>
        <v>Move-in, turnover and fix-up work</v>
      </c>
    </row>
    <row r="136" spans="1:7" hidden="1">
      <c r="A136" s="1" t="s">
        <v>12</v>
      </c>
      <c r="B136" s="1" t="s">
        <v>41</v>
      </c>
      <c r="C136" s="1" t="s">
        <v>160</v>
      </c>
      <c r="D136" t="str">
        <f>VLOOKUP(A136,googleAdCopyOutput!A:C,2,1)</f>
        <v>Bundle several repairs in one visit (35)</v>
      </c>
      <c r="E136" t="str">
        <f>VLOOKUP(A136,googleAdCopyOutput!A:C,3,2)</f>
        <v>Move-in, turnover and fix-up work (33)</v>
      </c>
      <c r="F136" t="str">
        <f t="shared" si="4"/>
        <v>Bundle several repairs in one visit</v>
      </c>
      <c r="G136" t="str">
        <f t="shared" si="5"/>
        <v>Move-in, turnover and fix-up work</v>
      </c>
    </row>
    <row r="137" spans="1:7" hidden="1">
      <c r="A137" s="1" t="s">
        <v>12</v>
      </c>
      <c r="B137" s="1" t="s">
        <v>41</v>
      </c>
      <c r="C137" s="1" t="s">
        <v>161</v>
      </c>
      <c r="D137" t="str">
        <f>VLOOKUP(A137,googleAdCopyOutput!A:C,2,1)</f>
        <v>Bundle several repairs in one visit (35)</v>
      </c>
      <c r="E137" t="str">
        <f>VLOOKUP(A137,googleAdCopyOutput!A:C,3,2)</f>
        <v>Move-in, turnover and fix-up work (33)</v>
      </c>
      <c r="F137" t="str">
        <f t="shared" si="4"/>
        <v>Bundle several repairs in one visit</v>
      </c>
      <c r="G137" t="str">
        <f t="shared" si="5"/>
        <v>Move-in, turnover and fix-up work</v>
      </c>
    </row>
    <row r="138" spans="1:7">
      <c r="A138" s="1" t="s">
        <v>12</v>
      </c>
      <c r="B138" s="1" t="s">
        <v>57</v>
      </c>
      <c r="C138" s="1" t="s">
        <v>162</v>
      </c>
      <c r="D138" t="str">
        <f>VLOOKUP(A138,googleAdCopyOutput!A:C,2,1)</f>
        <v>Bundle several repairs in one visit (35)</v>
      </c>
      <c r="E138" t="str">
        <f>VLOOKUP(A138,googleAdCopyOutput!A:C,3,2)</f>
        <v>Move-in, turnover and fix-up work (33)</v>
      </c>
      <c r="F138" t="str">
        <f t="shared" si="4"/>
        <v>Bundle several repairs in one visit</v>
      </c>
      <c r="G138" t="str">
        <f t="shared" si="5"/>
        <v>Move-in, turnover and fix-up work</v>
      </c>
    </row>
    <row r="139" spans="1:7">
      <c r="A139" s="1" t="s">
        <v>12</v>
      </c>
      <c r="B139" s="1" t="s">
        <v>57</v>
      </c>
      <c r="C139" s="1" t="s">
        <v>163</v>
      </c>
      <c r="D139" t="str">
        <f>VLOOKUP(A139,googleAdCopyOutput!A:C,2,1)</f>
        <v>Bundle several repairs in one visit (35)</v>
      </c>
      <c r="E139" t="str">
        <f>VLOOKUP(A139,googleAdCopyOutput!A:C,3,2)</f>
        <v>Move-in, turnover and fix-up work (33)</v>
      </c>
      <c r="F139" t="str">
        <f t="shared" si="4"/>
        <v>Bundle several repairs in one visit</v>
      </c>
      <c r="G139" t="str">
        <f t="shared" si="5"/>
        <v>Move-in, turnover and fix-up work</v>
      </c>
    </row>
    <row r="140" spans="1:7">
      <c r="A140" s="1" t="s">
        <v>12</v>
      </c>
      <c r="B140" s="1" t="s">
        <v>57</v>
      </c>
      <c r="C140" s="1" t="s">
        <v>164</v>
      </c>
      <c r="D140" t="str">
        <f>VLOOKUP(A140,googleAdCopyOutput!A:C,2,1)</f>
        <v>Bundle several repairs in one visit (35)</v>
      </c>
      <c r="E140" t="str">
        <f>VLOOKUP(A140,googleAdCopyOutput!A:C,3,2)</f>
        <v>Move-in, turnover and fix-up work (33)</v>
      </c>
      <c r="F140" t="str">
        <f t="shared" si="4"/>
        <v>Bundle several repairs in one visit</v>
      </c>
      <c r="G140" t="str">
        <f t="shared" si="5"/>
        <v>Move-in, turnover and fix-up work</v>
      </c>
    </row>
    <row r="141" spans="1:7">
      <c r="A141" s="1" t="s">
        <v>12</v>
      </c>
      <c r="B141" s="1" t="s">
        <v>57</v>
      </c>
      <c r="C141" s="1" t="s">
        <v>165</v>
      </c>
      <c r="D141" t="str">
        <f>VLOOKUP(A141,googleAdCopyOutput!A:C,2,1)</f>
        <v>Bundle several repairs in one visit (35)</v>
      </c>
      <c r="E141" t="str">
        <f>VLOOKUP(A141,googleAdCopyOutput!A:C,3,2)</f>
        <v>Move-in, turnover and fix-up work (33)</v>
      </c>
      <c r="F141" t="str">
        <f t="shared" si="4"/>
        <v>Bundle several repairs in one visit</v>
      </c>
      <c r="G141" t="str">
        <f t="shared" si="5"/>
        <v>Move-in, turnover and fix-up work</v>
      </c>
    </row>
    <row r="142" spans="1:7" hidden="1">
      <c r="A142" s="1" t="s">
        <v>15</v>
      </c>
      <c r="B142" s="1" t="s">
        <v>24</v>
      </c>
      <c r="C142" s="1" t="s">
        <v>166</v>
      </c>
      <c r="D142" t="str">
        <f>VLOOKUP(A142,googleAdCopyOutput!A:C,2,1)</f>
        <v>Bundle several repairs in one visit (35)</v>
      </c>
      <c r="E142" t="str">
        <f>VLOOKUP(A142,googleAdCopyOutput!A:C,3,2)</f>
        <v>Move-in, turnover and fix-up work (33)</v>
      </c>
      <c r="F142" t="str">
        <f t="shared" si="4"/>
        <v>Bundle several repairs in one visit</v>
      </c>
      <c r="G142" t="str">
        <f t="shared" si="5"/>
        <v>Move-in, turnover and fix-up work</v>
      </c>
    </row>
    <row r="143" spans="1:7" hidden="1">
      <c r="A143" s="1" t="s">
        <v>15</v>
      </c>
      <c r="B143" s="1" t="s">
        <v>24</v>
      </c>
      <c r="C143" s="1" t="s">
        <v>167</v>
      </c>
      <c r="D143" t="str">
        <f>VLOOKUP(A143,googleAdCopyOutput!A:C,2,1)</f>
        <v>Bundle several repairs in one visit (35)</v>
      </c>
      <c r="E143" t="str">
        <f>VLOOKUP(A143,googleAdCopyOutput!A:C,3,2)</f>
        <v>Move-in, turnover and fix-up work (33)</v>
      </c>
      <c r="F143" t="str">
        <f t="shared" si="4"/>
        <v>Bundle several repairs in one visit</v>
      </c>
      <c r="G143" t="str">
        <f t="shared" si="5"/>
        <v>Move-in, turnover and fix-up work</v>
      </c>
    </row>
    <row r="144" spans="1:7" hidden="1">
      <c r="A144" s="1" t="s">
        <v>15</v>
      </c>
      <c r="B144" s="1" t="s">
        <v>24</v>
      </c>
      <c r="C144" s="1" t="s">
        <v>168</v>
      </c>
      <c r="D144" t="str">
        <f>VLOOKUP(A144,googleAdCopyOutput!A:C,2,1)</f>
        <v>Bundle several repairs in one visit (35)</v>
      </c>
      <c r="E144" t="str">
        <f>VLOOKUP(A144,googleAdCopyOutput!A:C,3,2)</f>
        <v>Move-in, turnover and fix-up work (33)</v>
      </c>
      <c r="F144" t="str">
        <f t="shared" si="4"/>
        <v>Bundle several repairs in one visit</v>
      </c>
      <c r="G144" t="str">
        <f t="shared" si="5"/>
        <v>Move-in, turnover and fix-up work</v>
      </c>
    </row>
    <row r="145" spans="1:7" hidden="1">
      <c r="A145" s="1" t="s">
        <v>15</v>
      </c>
      <c r="B145" s="1" t="s">
        <v>24</v>
      </c>
      <c r="C145" s="1" t="s">
        <v>169</v>
      </c>
      <c r="D145" t="str">
        <f>VLOOKUP(A145,googleAdCopyOutput!A:C,2,1)</f>
        <v>Bundle several repairs in one visit (35)</v>
      </c>
      <c r="E145" t="str">
        <f>VLOOKUP(A145,googleAdCopyOutput!A:C,3,2)</f>
        <v>Move-in, turnover and fix-up work (33)</v>
      </c>
      <c r="F145" t="str">
        <f t="shared" si="4"/>
        <v>Bundle several repairs in one visit</v>
      </c>
      <c r="G145" t="str">
        <f t="shared" si="5"/>
        <v>Move-in, turnover and fix-up work</v>
      </c>
    </row>
    <row r="146" spans="1:7" hidden="1">
      <c r="A146" s="1" t="s">
        <v>15</v>
      </c>
      <c r="B146" s="1" t="s">
        <v>24</v>
      </c>
      <c r="C146" s="1" t="s">
        <v>170</v>
      </c>
      <c r="D146" t="str">
        <f>VLOOKUP(A146,googleAdCopyOutput!A:C,2,1)</f>
        <v>Bundle several repairs in one visit (35)</v>
      </c>
      <c r="E146" t="str">
        <f>VLOOKUP(A146,googleAdCopyOutput!A:C,3,2)</f>
        <v>Move-in, turnover and fix-up work (33)</v>
      </c>
      <c r="F146" t="str">
        <f t="shared" si="4"/>
        <v>Bundle several repairs in one visit</v>
      </c>
      <c r="G146" t="str">
        <f t="shared" si="5"/>
        <v>Move-in, turnover and fix-up work</v>
      </c>
    </row>
    <row r="147" spans="1:7" hidden="1">
      <c r="A147" s="1" t="s">
        <v>15</v>
      </c>
      <c r="B147" s="1" t="s">
        <v>24</v>
      </c>
      <c r="C147" s="1" t="s">
        <v>171</v>
      </c>
      <c r="D147" t="str">
        <f>VLOOKUP(A147,googleAdCopyOutput!A:C,2,1)</f>
        <v>Bundle several repairs in one visit (35)</v>
      </c>
      <c r="E147" t="str">
        <f>VLOOKUP(A147,googleAdCopyOutput!A:C,3,2)</f>
        <v>Move-in, turnover and fix-up work (33)</v>
      </c>
      <c r="F147" t="str">
        <f t="shared" si="4"/>
        <v>Bundle several repairs in one visit</v>
      </c>
      <c r="G147" t="str">
        <f t="shared" si="5"/>
        <v>Move-in, turnover and fix-up work</v>
      </c>
    </row>
    <row r="148" spans="1:7" hidden="1">
      <c r="A148" s="1" t="s">
        <v>15</v>
      </c>
      <c r="B148" s="1" t="s">
        <v>24</v>
      </c>
      <c r="C148" s="1" t="s">
        <v>172</v>
      </c>
      <c r="D148" t="str">
        <f>VLOOKUP(A148,googleAdCopyOutput!A:C,2,1)</f>
        <v>Bundle several repairs in one visit (35)</v>
      </c>
      <c r="E148" t="str">
        <f>VLOOKUP(A148,googleAdCopyOutput!A:C,3,2)</f>
        <v>Move-in, turnover and fix-up work (33)</v>
      </c>
      <c r="F148" t="str">
        <f t="shared" si="4"/>
        <v>Bundle several repairs in one visit</v>
      </c>
      <c r="G148" t="str">
        <f t="shared" si="5"/>
        <v>Move-in, turnover and fix-up work</v>
      </c>
    </row>
    <row r="149" spans="1:7" hidden="1">
      <c r="A149" s="1" t="s">
        <v>15</v>
      </c>
      <c r="B149" s="1" t="s">
        <v>24</v>
      </c>
      <c r="C149" s="1" t="s">
        <v>173</v>
      </c>
      <c r="D149" t="str">
        <f>VLOOKUP(A149,googleAdCopyOutput!A:C,2,1)</f>
        <v>Bundle several repairs in one visit (35)</v>
      </c>
      <c r="E149" t="str">
        <f>VLOOKUP(A149,googleAdCopyOutput!A:C,3,2)</f>
        <v>Move-in, turnover and fix-up work (33)</v>
      </c>
      <c r="F149" t="str">
        <f t="shared" si="4"/>
        <v>Bundle several repairs in one visit</v>
      </c>
      <c r="G149" t="str">
        <f t="shared" si="5"/>
        <v>Move-in, turnover and fix-up work</v>
      </c>
    </row>
    <row r="150" spans="1:7" hidden="1">
      <c r="A150" s="1" t="s">
        <v>15</v>
      </c>
      <c r="B150" s="1" t="s">
        <v>24</v>
      </c>
      <c r="C150" s="1" t="s">
        <v>174</v>
      </c>
      <c r="D150" t="str">
        <f>VLOOKUP(A150,googleAdCopyOutput!A:C,2,1)</f>
        <v>Bundle several repairs in one visit (35)</v>
      </c>
      <c r="E150" t="str">
        <f>VLOOKUP(A150,googleAdCopyOutput!A:C,3,2)</f>
        <v>Move-in, turnover and fix-up work (33)</v>
      </c>
      <c r="F150" t="str">
        <f t="shared" si="4"/>
        <v>Bundle several repairs in one visit</v>
      </c>
      <c r="G150" t="str">
        <f t="shared" si="5"/>
        <v>Move-in, turnover and fix-up work</v>
      </c>
    </row>
    <row r="151" spans="1:7" hidden="1">
      <c r="A151" s="1" t="s">
        <v>15</v>
      </c>
      <c r="B151" s="1" t="s">
        <v>24</v>
      </c>
      <c r="C151" s="1" t="s">
        <v>175</v>
      </c>
      <c r="D151" t="str">
        <f>VLOOKUP(A151,googleAdCopyOutput!A:C,2,1)</f>
        <v>Bundle several repairs in one visit (35)</v>
      </c>
      <c r="E151" t="str">
        <f>VLOOKUP(A151,googleAdCopyOutput!A:C,3,2)</f>
        <v>Move-in, turnover and fix-up work (33)</v>
      </c>
      <c r="F151" t="str">
        <f t="shared" si="4"/>
        <v>Bundle several repairs in one visit</v>
      </c>
      <c r="G151" t="str">
        <f t="shared" si="5"/>
        <v>Move-in, turnover and fix-up work</v>
      </c>
    </row>
    <row r="152" spans="1:7" hidden="1">
      <c r="A152" s="1" t="s">
        <v>15</v>
      </c>
      <c r="B152" s="1" t="s">
        <v>24</v>
      </c>
      <c r="C152" s="1" t="s">
        <v>176</v>
      </c>
      <c r="D152" t="str">
        <f>VLOOKUP(A152,googleAdCopyOutput!A:C,2,1)</f>
        <v>Bundle several repairs in one visit (35)</v>
      </c>
      <c r="E152" t="str">
        <f>VLOOKUP(A152,googleAdCopyOutput!A:C,3,2)</f>
        <v>Move-in, turnover and fix-up work (33)</v>
      </c>
      <c r="F152" t="str">
        <f t="shared" si="4"/>
        <v>Bundle several repairs in one visit</v>
      </c>
      <c r="G152" t="str">
        <f t="shared" si="5"/>
        <v>Move-in, turnover and fix-up work</v>
      </c>
    </row>
    <row r="153" spans="1:7" hidden="1">
      <c r="A153" s="1" t="s">
        <v>15</v>
      </c>
      <c r="B153" s="1" t="s">
        <v>24</v>
      </c>
      <c r="C153" s="1" t="s">
        <v>177</v>
      </c>
      <c r="D153" t="str">
        <f>VLOOKUP(A153,googleAdCopyOutput!A:C,2,1)</f>
        <v>Bundle several repairs in one visit (35)</v>
      </c>
      <c r="E153" t="str">
        <f>VLOOKUP(A153,googleAdCopyOutput!A:C,3,2)</f>
        <v>Move-in, turnover and fix-up work (33)</v>
      </c>
      <c r="F153" t="str">
        <f t="shared" si="4"/>
        <v>Bundle several repairs in one visit</v>
      </c>
      <c r="G153" t="str">
        <f t="shared" si="5"/>
        <v>Move-in, turnover and fix-up work</v>
      </c>
    </row>
    <row r="154" spans="1:7" hidden="1">
      <c r="A154" s="1" t="s">
        <v>15</v>
      </c>
      <c r="B154" s="1" t="s">
        <v>24</v>
      </c>
      <c r="C154" s="1" t="s">
        <v>178</v>
      </c>
      <c r="D154" t="str">
        <f>VLOOKUP(A154,googleAdCopyOutput!A:C,2,1)</f>
        <v>Bundle several repairs in one visit (35)</v>
      </c>
      <c r="E154" t="str">
        <f>VLOOKUP(A154,googleAdCopyOutput!A:C,3,2)</f>
        <v>Move-in, turnover and fix-up work (33)</v>
      </c>
      <c r="F154" t="str">
        <f t="shared" si="4"/>
        <v>Bundle several repairs in one visit</v>
      </c>
      <c r="G154" t="str">
        <f t="shared" si="5"/>
        <v>Move-in, turnover and fix-up work</v>
      </c>
    </row>
    <row r="155" spans="1:7" hidden="1">
      <c r="A155" s="1" t="s">
        <v>15</v>
      </c>
      <c r="B155" s="1" t="s">
        <v>24</v>
      </c>
      <c r="C155" s="1" t="s">
        <v>179</v>
      </c>
      <c r="D155" t="str">
        <f>VLOOKUP(A155,googleAdCopyOutput!A:C,2,1)</f>
        <v>Bundle several repairs in one visit (35)</v>
      </c>
      <c r="E155" t="str">
        <f>VLOOKUP(A155,googleAdCopyOutput!A:C,3,2)</f>
        <v>Move-in, turnover and fix-up work (33)</v>
      </c>
      <c r="F155" t="str">
        <f t="shared" si="4"/>
        <v>Bundle several repairs in one visit</v>
      </c>
      <c r="G155" t="str">
        <f t="shared" si="5"/>
        <v>Move-in, turnover and fix-up work</v>
      </c>
    </row>
    <row r="156" spans="1:7" hidden="1">
      <c r="A156" s="1" t="s">
        <v>15</v>
      </c>
      <c r="B156" s="1" t="s">
        <v>41</v>
      </c>
      <c r="C156" s="1" t="s">
        <v>180</v>
      </c>
      <c r="D156" t="str">
        <f>VLOOKUP(A156,googleAdCopyOutput!A:C,2,1)</f>
        <v>Bundle several repairs in one visit (35)</v>
      </c>
      <c r="E156" t="str">
        <f>VLOOKUP(A156,googleAdCopyOutput!A:C,3,2)</f>
        <v>Move-in, turnover and fix-up work (33)</v>
      </c>
      <c r="F156" t="str">
        <f t="shared" si="4"/>
        <v>Bundle several repairs in one visit</v>
      </c>
      <c r="G156" t="str">
        <f t="shared" si="5"/>
        <v>Move-in, turnover and fix-up work</v>
      </c>
    </row>
    <row r="157" spans="1:7" hidden="1">
      <c r="A157" s="1" t="s">
        <v>15</v>
      </c>
      <c r="B157" s="1" t="s">
        <v>41</v>
      </c>
      <c r="C157" s="1" t="s">
        <v>181</v>
      </c>
      <c r="D157" t="str">
        <f>VLOOKUP(A157,googleAdCopyOutput!A:C,2,1)</f>
        <v>Bundle several repairs in one visit (35)</v>
      </c>
      <c r="E157" t="str">
        <f>VLOOKUP(A157,googleAdCopyOutput!A:C,3,2)</f>
        <v>Move-in, turnover and fix-up work (33)</v>
      </c>
      <c r="F157" t="str">
        <f t="shared" si="4"/>
        <v>Bundle several repairs in one visit</v>
      </c>
      <c r="G157" t="str">
        <f t="shared" si="5"/>
        <v>Move-in, turnover and fix-up work</v>
      </c>
    </row>
    <row r="158" spans="1:7" hidden="1">
      <c r="A158" s="1" t="s">
        <v>15</v>
      </c>
      <c r="B158" s="1" t="s">
        <v>41</v>
      </c>
      <c r="C158" s="1" t="s">
        <v>182</v>
      </c>
      <c r="D158" t="str">
        <f>VLOOKUP(A158,googleAdCopyOutput!A:C,2,1)</f>
        <v>Bundle several repairs in one visit (35)</v>
      </c>
      <c r="E158" t="str">
        <f>VLOOKUP(A158,googleAdCopyOutput!A:C,3,2)</f>
        <v>Move-in, turnover and fix-up work (33)</v>
      </c>
      <c r="F158" t="str">
        <f t="shared" si="4"/>
        <v>Bundle several repairs in one visit</v>
      </c>
      <c r="G158" t="str">
        <f t="shared" si="5"/>
        <v>Move-in, turnover and fix-up work</v>
      </c>
    </row>
    <row r="159" spans="1:7" hidden="1">
      <c r="A159" s="1" t="s">
        <v>15</v>
      </c>
      <c r="B159" s="1" t="s">
        <v>41</v>
      </c>
      <c r="C159" s="1" t="s">
        <v>183</v>
      </c>
      <c r="D159" t="str">
        <f>VLOOKUP(A159,googleAdCopyOutput!A:C,2,1)</f>
        <v>Bundle several repairs in one visit (35)</v>
      </c>
      <c r="E159" t="str">
        <f>VLOOKUP(A159,googleAdCopyOutput!A:C,3,2)</f>
        <v>Move-in, turnover and fix-up work (33)</v>
      </c>
      <c r="F159" t="str">
        <f t="shared" si="4"/>
        <v>Bundle several repairs in one visit</v>
      </c>
      <c r="G159" t="str">
        <f t="shared" si="5"/>
        <v>Move-in, turnover and fix-up work</v>
      </c>
    </row>
    <row r="160" spans="1:7" hidden="1">
      <c r="A160" s="1" t="s">
        <v>15</v>
      </c>
      <c r="B160" s="1" t="s">
        <v>41</v>
      </c>
      <c r="C160" s="1" t="s">
        <v>184</v>
      </c>
      <c r="D160" t="str">
        <f>VLOOKUP(A160,googleAdCopyOutput!A:C,2,1)</f>
        <v>Bundle several repairs in one visit (35)</v>
      </c>
      <c r="E160" t="str">
        <f>VLOOKUP(A160,googleAdCopyOutput!A:C,3,2)</f>
        <v>Move-in, turnover and fix-up work (33)</v>
      </c>
      <c r="F160" t="str">
        <f t="shared" si="4"/>
        <v>Bundle several repairs in one visit</v>
      </c>
      <c r="G160" t="str">
        <f t="shared" si="5"/>
        <v>Move-in, turnover and fix-up work</v>
      </c>
    </row>
    <row r="161" spans="1:7" hidden="1">
      <c r="A161" s="1" t="s">
        <v>15</v>
      </c>
      <c r="B161" s="1" t="s">
        <v>41</v>
      </c>
      <c r="C161" s="1" t="s">
        <v>185</v>
      </c>
      <c r="D161" t="str">
        <f>VLOOKUP(A161,googleAdCopyOutput!A:C,2,1)</f>
        <v>Bundle several repairs in one visit (35)</v>
      </c>
      <c r="E161" t="str">
        <f>VLOOKUP(A161,googleAdCopyOutput!A:C,3,2)</f>
        <v>Move-in, turnover and fix-up work (33)</v>
      </c>
      <c r="F161" t="str">
        <f t="shared" si="4"/>
        <v>Bundle several repairs in one visit</v>
      </c>
      <c r="G161" t="str">
        <f t="shared" si="5"/>
        <v>Move-in, turnover and fix-up work</v>
      </c>
    </row>
    <row r="162" spans="1:7" hidden="1">
      <c r="A162" s="1" t="s">
        <v>15</v>
      </c>
      <c r="B162" s="1" t="s">
        <v>41</v>
      </c>
      <c r="C162" s="1" t="s">
        <v>186</v>
      </c>
      <c r="D162" t="str">
        <f>VLOOKUP(A162,googleAdCopyOutput!A:C,2,1)</f>
        <v>Bundle several repairs in one visit (35)</v>
      </c>
      <c r="E162" t="str">
        <f>VLOOKUP(A162,googleAdCopyOutput!A:C,3,2)</f>
        <v>Move-in, turnover and fix-up work (33)</v>
      </c>
      <c r="F162" t="str">
        <f t="shared" si="4"/>
        <v>Bundle several repairs in one visit</v>
      </c>
      <c r="G162" t="str">
        <f t="shared" si="5"/>
        <v>Move-in, turnover and fix-up work</v>
      </c>
    </row>
    <row r="163" spans="1:7" hidden="1">
      <c r="A163" s="1" t="s">
        <v>15</v>
      </c>
      <c r="B163" s="1" t="s">
        <v>41</v>
      </c>
      <c r="C163" s="1" t="s">
        <v>187</v>
      </c>
      <c r="D163" t="str">
        <f>VLOOKUP(A163,googleAdCopyOutput!A:C,2,1)</f>
        <v>Bundle several repairs in one visit (35)</v>
      </c>
      <c r="E163" t="str">
        <f>VLOOKUP(A163,googleAdCopyOutput!A:C,3,2)</f>
        <v>Move-in, turnover and fix-up work (33)</v>
      </c>
      <c r="F163" t="str">
        <f t="shared" si="4"/>
        <v>Bundle several repairs in one visit</v>
      </c>
      <c r="G163" t="str">
        <f t="shared" si="5"/>
        <v>Move-in, turnover and fix-up work</v>
      </c>
    </row>
    <row r="164" spans="1:7" hidden="1">
      <c r="A164" s="1" t="s">
        <v>15</v>
      </c>
      <c r="B164" s="1" t="s">
        <v>41</v>
      </c>
      <c r="C164" s="1" t="s">
        <v>188</v>
      </c>
      <c r="D164" t="str">
        <f>VLOOKUP(A164,googleAdCopyOutput!A:C,2,1)</f>
        <v>Bundle several repairs in one visit (35)</v>
      </c>
      <c r="E164" t="str">
        <f>VLOOKUP(A164,googleAdCopyOutput!A:C,3,2)</f>
        <v>Move-in, turnover and fix-up work (33)</v>
      </c>
      <c r="F164" t="str">
        <f t="shared" si="4"/>
        <v>Bundle several repairs in one visit</v>
      </c>
      <c r="G164" t="str">
        <f t="shared" si="5"/>
        <v>Move-in, turnover and fix-up work</v>
      </c>
    </row>
    <row r="165" spans="1:7" hidden="1">
      <c r="A165" s="1" t="s">
        <v>15</v>
      </c>
      <c r="B165" s="1" t="s">
        <v>41</v>
      </c>
      <c r="C165" s="1" t="s">
        <v>189</v>
      </c>
      <c r="D165" t="str">
        <f>VLOOKUP(A165,googleAdCopyOutput!A:C,2,1)</f>
        <v>Bundle several repairs in one visit (35)</v>
      </c>
      <c r="E165" t="str">
        <f>VLOOKUP(A165,googleAdCopyOutput!A:C,3,2)</f>
        <v>Move-in, turnover and fix-up work (33)</v>
      </c>
      <c r="F165" t="str">
        <f t="shared" si="4"/>
        <v>Bundle several repairs in one visit</v>
      </c>
      <c r="G165" t="str">
        <f t="shared" si="5"/>
        <v>Move-in, turnover and fix-up work</v>
      </c>
    </row>
    <row r="166" spans="1:7" hidden="1">
      <c r="A166" s="1" t="s">
        <v>15</v>
      </c>
      <c r="B166" s="1" t="s">
        <v>41</v>
      </c>
      <c r="C166" s="1" t="s">
        <v>190</v>
      </c>
      <c r="D166" t="str">
        <f>VLOOKUP(A166,googleAdCopyOutput!A:C,2,1)</f>
        <v>Bundle several repairs in one visit (35)</v>
      </c>
      <c r="E166" t="str">
        <f>VLOOKUP(A166,googleAdCopyOutput!A:C,3,2)</f>
        <v>Move-in, turnover and fix-up work (33)</v>
      </c>
      <c r="F166" t="str">
        <f t="shared" si="4"/>
        <v>Bundle several repairs in one visit</v>
      </c>
      <c r="G166" t="str">
        <f t="shared" si="5"/>
        <v>Move-in, turnover and fix-up work</v>
      </c>
    </row>
    <row r="167" spans="1:7" hidden="1">
      <c r="A167" s="1" t="s">
        <v>15</v>
      </c>
      <c r="B167" s="1" t="s">
        <v>41</v>
      </c>
      <c r="C167" s="1" t="s">
        <v>191</v>
      </c>
      <c r="D167" t="str">
        <f>VLOOKUP(A167,googleAdCopyOutput!A:C,2,1)</f>
        <v>Bundle several repairs in one visit (35)</v>
      </c>
      <c r="E167" t="str">
        <f>VLOOKUP(A167,googleAdCopyOutput!A:C,3,2)</f>
        <v>Move-in, turnover and fix-up work (33)</v>
      </c>
      <c r="F167" t="str">
        <f t="shared" si="4"/>
        <v>Bundle several repairs in one visit</v>
      </c>
      <c r="G167" t="str">
        <f t="shared" si="5"/>
        <v>Move-in, turnover and fix-up work</v>
      </c>
    </row>
    <row r="168" spans="1:7" hidden="1">
      <c r="A168" s="1" t="s">
        <v>15</v>
      </c>
      <c r="B168" s="1" t="s">
        <v>41</v>
      </c>
      <c r="C168" s="1" t="s">
        <v>192</v>
      </c>
      <c r="D168" t="str">
        <f>VLOOKUP(A168,googleAdCopyOutput!A:C,2,1)</f>
        <v>Bundle several repairs in one visit (35)</v>
      </c>
      <c r="E168" t="str">
        <f>VLOOKUP(A168,googleAdCopyOutput!A:C,3,2)</f>
        <v>Move-in, turnover and fix-up work (33)</v>
      </c>
      <c r="F168" t="str">
        <f t="shared" si="4"/>
        <v>Bundle several repairs in one visit</v>
      </c>
      <c r="G168" t="str">
        <f t="shared" si="5"/>
        <v>Move-in, turnover and fix-up work</v>
      </c>
    </row>
    <row r="169" spans="1:7" hidden="1">
      <c r="A169" s="1" t="s">
        <v>15</v>
      </c>
      <c r="B169" s="1" t="s">
        <v>41</v>
      </c>
      <c r="C169" s="1" t="s">
        <v>193</v>
      </c>
      <c r="D169" t="str">
        <f>VLOOKUP(A169,googleAdCopyOutput!A:C,2,1)</f>
        <v>Bundle several repairs in one visit (35)</v>
      </c>
      <c r="E169" t="str">
        <f>VLOOKUP(A169,googleAdCopyOutput!A:C,3,2)</f>
        <v>Move-in, turnover and fix-up work (33)</v>
      </c>
      <c r="F169" t="str">
        <f t="shared" si="4"/>
        <v>Bundle several repairs in one visit</v>
      </c>
      <c r="G169" t="str">
        <f t="shared" si="5"/>
        <v>Move-in, turnover and fix-up work</v>
      </c>
    </row>
    <row r="170" spans="1:7" hidden="1">
      <c r="A170" s="1" t="s">
        <v>15</v>
      </c>
      <c r="B170" s="1" t="s">
        <v>41</v>
      </c>
      <c r="C170" s="1" t="s">
        <v>194</v>
      </c>
      <c r="D170" t="str">
        <f>VLOOKUP(A170,googleAdCopyOutput!A:C,2,1)</f>
        <v>Bundle several repairs in one visit (35)</v>
      </c>
      <c r="E170" t="str">
        <f>VLOOKUP(A170,googleAdCopyOutput!A:C,3,2)</f>
        <v>Move-in, turnover and fix-up work (33)</v>
      </c>
      <c r="F170" t="str">
        <f t="shared" si="4"/>
        <v>Bundle several repairs in one visit</v>
      </c>
      <c r="G170" t="str">
        <f t="shared" si="5"/>
        <v>Move-in, turnover and fix-up work</v>
      </c>
    </row>
    <row r="171" spans="1:7" hidden="1">
      <c r="A171" s="1" t="s">
        <v>15</v>
      </c>
      <c r="B171" s="1" t="s">
        <v>57</v>
      </c>
      <c r="C171" s="1" t="s">
        <v>195</v>
      </c>
      <c r="D171" t="str">
        <f>VLOOKUP(A171,googleAdCopyOutput!A:C,2,1)</f>
        <v>Bundle several repairs in one visit (35)</v>
      </c>
      <c r="E171" t="str">
        <f>VLOOKUP(A171,googleAdCopyOutput!A:C,3,2)</f>
        <v>Move-in, turnover and fix-up work (33)</v>
      </c>
      <c r="F171" t="str">
        <f t="shared" si="4"/>
        <v>Bundle several repairs in one visit</v>
      </c>
      <c r="G171" t="str">
        <f t="shared" si="5"/>
        <v>Move-in, turnover and fix-up work</v>
      </c>
    </row>
    <row r="172" spans="1:7" hidden="1">
      <c r="A172" s="1" t="s">
        <v>15</v>
      </c>
      <c r="B172" s="1" t="s">
        <v>57</v>
      </c>
      <c r="C172" s="1" t="s">
        <v>196</v>
      </c>
      <c r="D172" t="str">
        <f>VLOOKUP(A172,googleAdCopyOutput!A:C,2,1)</f>
        <v>Bundle several repairs in one visit (35)</v>
      </c>
      <c r="E172" t="str">
        <f>VLOOKUP(A172,googleAdCopyOutput!A:C,3,2)</f>
        <v>Move-in, turnover and fix-up work (33)</v>
      </c>
      <c r="F172" t="str">
        <f t="shared" si="4"/>
        <v>Bundle several repairs in one visit</v>
      </c>
      <c r="G172" t="str">
        <f t="shared" si="5"/>
        <v>Move-in, turnover and fix-up work</v>
      </c>
    </row>
    <row r="173" spans="1:7" hidden="1">
      <c r="A173" s="1" t="s">
        <v>15</v>
      </c>
      <c r="B173" s="1" t="s">
        <v>57</v>
      </c>
      <c r="C173" s="1" t="s">
        <v>197</v>
      </c>
      <c r="D173" t="str">
        <f>VLOOKUP(A173,googleAdCopyOutput!A:C,2,1)</f>
        <v>Bundle several repairs in one visit (35)</v>
      </c>
      <c r="E173" t="str">
        <f>VLOOKUP(A173,googleAdCopyOutput!A:C,3,2)</f>
        <v>Move-in, turnover and fix-up work (33)</v>
      </c>
      <c r="F173" t="str">
        <f t="shared" si="4"/>
        <v>Bundle several repairs in one visit</v>
      </c>
      <c r="G173" t="str">
        <f t="shared" si="5"/>
        <v>Move-in, turnover and fix-up work</v>
      </c>
    </row>
    <row r="174" spans="1:7" hidden="1">
      <c r="A174" s="1" t="s">
        <v>15</v>
      </c>
      <c r="B174" s="1" t="s">
        <v>57</v>
      </c>
      <c r="C174" s="1" t="s">
        <v>198</v>
      </c>
      <c r="D174" t="str">
        <f>VLOOKUP(A174,googleAdCopyOutput!A:C,2,1)</f>
        <v>Bundle several repairs in one visit (35)</v>
      </c>
      <c r="E174" t="str">
        <f>VLOOKUP(A174,googleAdCopyOutput!A:C,3,2)</f>
        <v>Move-in, turnover and fix-up work (33)</v>
      </c>
      <c r="F174" t="str">
        <f t="shared" si="4"/>
        <v>Bundle several repairs in one visit</v>
      </c>
      <c r="G174" t="str">
        <f t="shared" si="5"/>
        <v>Move-in, turnover and fix-up work</v>
      </c>
    </row>
    <row r="175" spans="1:7" hidden="1">
      <c r="A175" s="1" t="s">
        <v>18</v>
      </c>
      <c r="B175" s="1" t="s">
        <v>24</v>
      </c>
      <c r="C175" s="1" t="s">
        <v>199</v>
      </c>
      <c r="D175" t="str">
        <f>VLOOKUP(A175,googleAdCopyOutput!A:C,2,1)</f>
        <v>Fix doors that stick, sag or drag (33)</v>
      </c>
      <c r="E175" t="str">
        <f>VLOOKUP(A175,googleAdCopyOutput!A:C,3,2)</f>
        <v>Hinges, locks and security doors (32)</v>
      </c>
      <c r="F175" t="str">
        <f t="shared" si="4"/>
        <v>Fix doors that stick, sag or drag</v>
      </c>
      <c r="G175" t="str">
        <f t="shared" si="5"/>
        <v>Hinges, locks and security doors</v>
      </c>
    </row>
    <row r="176" spans="1:7" hidden="1">
      <c r="A176" s="1" t="s">
        <v>18</v>
      </c>
      <c r="B176" s="1" t="s">
        <v>24</v>
      </c>
      <c r="C176" s="1" t="s">
        <v>200</v>
      </c>
      <c r="D176" t="str">
        <f>VLOOKUP(A176,googleAdCopyOutput!A:C,2,1)</f>
        <v>Fix doors that stick, sag or drag (33)</v>
      </c>
      <c r="E176" t="str">
        <f>VLOOKUP(A176,googleAdCopyOutput!A:C,3,2)</f>
        <v>Hinges, locks and security doors (32)</v>
      </c>
      <c r="F176" t="str">
        <f t="shared" si="4"/>
        <v>Fix doors that stick, sag or drag</v>
      </c>
      <c r="G176" t="str">
        <f t="shared" si="5"/>
        <v>Hinges, locks and security doors</v>
      </c>
    </row>
    <row r="177" spans="1:7" hidden="1">
      <c r="A177" s="1" t="s">
        <v>18</v>
      </c>
      <c r="B177" s="1" t="s">
        <v>24</v>
      </c>
      <c r="C177" s="1" t="s">
        <v>201</v>
      </c>
      <c r="D177" t="str">
        <f>VLOOKUP(A177,googleAdCopyOutput!A:C,2,1)</f>
        <v>Fix doors that stick, sag or drag (33)</v>
      </c>
      <c r="E177" t="str">
        <f>VLOOKUP(A177,googleAdCopyOutput!A:C,3,2)</f>
        <v>Hinges, locks and security doors (32)</v>
      </c>
      <c r="F177" t="str">
        <f t="shared" si="4"/>
        <v>Fix doors that stick, sag or drag</v>
      </c>
      <c r="G177" t="str">
        <f t="shared" si="5"/>
        <v>Hinges, locks and security doors</v>
      </c>
    </row>
    <row r="178" spans="1:7" hidden="1">
      <c r="A178" s="1" t="s">
        <v>18</v>
      </c>
      <c r="B178" s="1" t="s">
        <v>24</v>
      </c>
      <c r="C178" s="1" t="s">
        <v>202</v>
      </c>
      <c r="D178" t="str">
        <f>VLOOKUP(A178,googleAdCopyOutput!A:C,2,1)</f>
        <v>Fix doors that stick, sag or drag (33)</v>
      </c>
      <c r="E178" t="str">
        <f>VLOOKUP(A178,googleAdCopyOutput!A:C,3,2)</f>
        <v>Hinges, locks and security doors (32)</v>
      </c>
      <c r="F178" t="str">
        <f t="shared" si="4"/>
        <v>Fix doors that stick, sag or drag</v>
      </c>
      <c r="G178" t="str">
        <f t="shared" si="5"/>
        <v>Hinges, locks and security doors</v>
      </c>
    </row>
    <row r="179" spans="1:7" hidden="1">
      <c r="A179" s="1" t="s">
        <v>18</v>
      </c>
      <c r="B179" s="1" t="s">
        <v>24</v>
      </c>
      <c r="C179" s="1" t="s">
        <v>203</v>
      </c>
      <c r="D179" t="str">
        <f>VLOOKUP(A179,googleAdCopyOutput!A:C,2,1)</f>
        <v>Fix doors that stick, sag or drag (33)</v>
      </c>
      <c r="E179" t="str">
        <f>VLOOKUP(A179,googleAdCopyOutput!A:C,3,2)</f>
        <v>Hinges, locks and security doors (32)</v>
      </c>
      <c r="F179" t="str">
        <f t="shared" si="4"/>
        <v>Fix doors that stick, sag or drag</v>
      </c>
      <c r="G179" t="str">
        <f t="shared" si="5"/>
        <v>Hinges, locks and security doors</v>
      </c>
    </row>
    <row r="180" spans="1:7" hidden="1">
      <c r="A180" s="1" t="s">
        <v>18</v>
      </c>
      <c r="B180" s="1" t="s">
        <v>24</v>
      </c>
      <c r="C180" s="1" t="s">
        <v>204</v>
      </c>
      <c r="D180" t="str">
        <f>VLOOKUP(A180,googleAdCopyOutput!A:C,2,1)</f>
        <v>Fix doors that stick, sag or drag (33)</v>
      </c>
      <c r="E180" t="str">
        <f>VLOOKUP(A180,googleAdCopyOutput!A:C,3,2)</f>
        <v>Hinges, locks and security doors (32)</v>
      </c>
      <c r="F180" t="str">
        <f t="shared" si="4"/>
        <v>Fix doors that stick, sag or drag</v>
      </c>
      <c r="G180" t="str">
        <f t="shared" si="5"/>
        <v>Hinges, locks and security doors</v>
      </c>
    </row>
    <row r="181" spans="1:7" hidden="1">
      <c r="A181" s="1" t="s">
        <v>18</v>
      </c>
      <c r="B181" s="1" t="s">
        <v>24</v>
      </c>
      <c r="C181" s="1" t="s">
        <v>205</v>
      </c>
      <c r="D181" t="str">
        <f>VLOOKUP(A181,googleAdCopyOutput!A:C,2,1)</f>
        <v>Fix doors that stick, sag or drag (33)</v>
      </c>
      <c r="E181" t="str">
        <f>VLOOKUP(A181,googleAdCopyOutput!A:C,3,2)</f>
        <v>Hinges, locks and security doors (32)</v>
      </c>
      <c r="F181" t="str">
        <f t="shared" si="4"/>
        <v>Fix doors that stick, sag or drag</v>
      </c>
      <c r="G181" t="str">
        <f t="shared" si="5"/>
        <v>Hinges, locks and security doors</v>
      </c>
    </row>
    <row r="182" spans="1:7" hidden="1">
      <c r="A182" s="1" t="s">
        <v>18</v>
      </c>
      <c r="B182" s="1" t="s">
        <v>24</v>
      </c>
      <c r="C182" s="1" t="s">
        <v>206</v>
      </c>
      <c r="D182" t="str">
        <f>VLOOKUP(A182,googleAdCopyOutput!A:C,2,1)</f>
        <v>Fix doors that stick, sag or drag (33)</v>
      </c>
      <c r="E182" t="str">
        <f>VLOOKUP(A182,googleAdCopyOutput!A:C,3,2)</f>
        <v>Hinges, locks and security doors (32)</v>
      </c>
      <c r="F182" t="str">
        <f t="shared" si="4"/>
        <v>Fix doors that stick, sag or drag</v>
      </c>
      <c r="G182" t="str">
        <f t="shared" si="5"/>
        <v>Hinges, locks and security doors</v>
      </c>
    </row>
    <row r="183" spans="1:7" hidden="1">
      <c r="A183" s="1" t="s">
        <v>18</v>
      </c>
      <c r="B183" s="1" t="s">
        <v>24</v>
      </c>
      <c r="C183" s="1" t="s">
        <v>207</v>
      </c>
      <c r="D183" t="str">
        <f>VLOOKUP(A183,googleAdCopyOutput!A:C,2,1)</f>
        <v>Fix doors that stick, sag or drag (33)</v>
      </c>
      <c r="E183" t="str">
        <f>VLOOKUP(A183,googleAdCopyOutput!A:C,3,2)</f>
        <v>Hinges, locks and security doors (32)</v>
      </c>
      <c r="F183" t="str">
        <f t="shared" si="4"/>
        <v>Fix doors that stick, sag or drag</v>
      </c>
      <c r="G183" t="str">
        <f t="shared" si="5"/>
        <v>Hinges, locks and security doors</v>
      </c>
    </row>
    <row r="184" spans="1:7" hidden="1">
      <c r="A184" s="1" t="s">
        <v>18</v>
      </c>
      <c r="B184" s="1" t="s">
        <v>24</v>
      </c>
      <c r="C184" s="1" t="s">
        <v>208</v>
      </c>
      <c r="D184" t="str">
        <f>VLOOKUP(A184,googleAdCopyOutput!A:C,2,1)</f>
        <v>Fix doors that stick, sag or drag (33)</v>
      </c>
      <c r="E184" t="str">
        <f>VLOOKUP(A184,googleAdCopyOutput!A:C,3,2)</f>
        <v>Hinges, locks and security doors (32)</v>
      </c>
      <c r="F184" t="str">
        <f t="shared" si="4"/>
        <v>Fix doors that stick, sag or drag</v>
      </c>
      <c r="G184" t="str">
        <f t="shared" si="5"/>
        <v>Hinges, locks and security doors</v>
      </c>
    </row>
    <row r="185" spans="1:7" hidden="1">
      <c r="A185" s="1" t="s">
        <v>18</v>
      </c>
      <c r="B185" s="1" t="s">
        <v>24</v>
      </c>
      <c r="C185" s="1" t="s">
        <v>209</v>
      </c>
      <c r="D185" t="str">
        <f>VLOOKUP(A185,googleAdCopyOutput!A:C,2,1)</f>
        <v>Fix doors that stick, sag or drag (33)</v>
      </c>
      <c r="E185" t="str">
        <f>VLOOKUP(A185,googleAdCopyOutput!A:C,3,2)</f>
        <v>Hinges, locks and security doors (32)</v>
      </c>
      <c r="F185" t="str">
        <f t="shared" si="4"/>
        <v>Fix doors that stick, sag or drag</v>
      </c>
      <c r="G185" t="str">
        <f t="shared" si="5"/>
        <v>Hinges, locks and security doors</v>
      </c>
    </row>
    <row r="186" spans="1:7" hidden="1">
      <c r="A186" s="1" t="s">
        <v>18</v>
      </c>
      <c r="B186" s="1" t="s">
        <v>24</v>
      </c>
      <c r="C186" s="1" t="s">
        <v>210</v>
      </c>
      <c r="D186" t="str">
        <f>VLOOKUP(A186,googleAdCopyOutput!A:C,2,1)</f>
        <v>Fix doors that stick, sag or drag (33)</v>
      </c>
      <c r="E186" t="str">
        <f>VLOOKUP(A186,googleAdCopyOutput!A:C,3,2)</f>
        <v>Hinges, locks and security doors (32)</v>
      </c>
      <c r="F186" t="str">
        <f t="shared" si="4"/>
        <v>Fix doors that stick, sag or drag</v>
      </c>
      <c r="G186" t="str">
        <f t="shared" si="5"/>
        <v>Hinges, locks and security doors</v>
      </c>
    </row>
    <row r="187" spans="1:7" hidden="1">
      <c r="A187" s="1" t="s">
        <v>18</v>
      </c>
      <c r="B187" s="1" t="s">
        <v>24</v>
      </c>
      <c r="C187" s="1" t="s">
        <v>211</v>
      </c>
      <c r="D187" t="str">
        <f>VLOOKUP(A187,googleAdCopyOutput!A:C,2,1)</f>
        <v>Fix doors that stick, sag or drag (33)</v>
      </c>
      <c r="E187" t="str">
        <f>VLOOKUP(A187,googleAdCopyOutput!A:C,3,2)</f>
        <v>Hinges, locks and security doors (32)</v>
      </c>
      <c r="F187" t="str">
        <f t="shared" si="4"/>
        <v>Fix doors that stick, sag or drag</v>
      </c>
      <c r="G187" t="str">
        <f t="shared" si="5"/>
        <v>Hinges, locks and security doors</v>
      </c>
    </row>
    <row r="188" spans="1:7" hidden="1">
      <c r="A188" s="1" t="s">
        <v>18</v>
      </c>
      <c r="B188" s="1" t="s">
        <v>24</v>
      </c>
      <c r="C188" s="1" t="s">
        <v>212</v>
      </c>
      <c r="D188" t="str">
        <f>VLOOKUP(A188,googleAdCopyOutput!A:C,2,1)</f>
        <v>Fix doors that stick, sag or drag (33)</v>
      </c>
      <c r="E188" t="str">
        <f>VLOOKUP(A188,googleAdCopyOutput!A:C,3,2)</f>
        <v>Hinges, locks and security doors (32)</v>
      </c>
      <c r="F188" t="str">
        <f t="shared" si="4"/>
        <v>Fix doors that stick, sag or drag</v>
      </c>
      <c r="G188" t="str">
        <f t="shared" si="5"/>
        <v>Hinges, locks and security doors</v>
      </c>
    </row>
    <row r="189" spans="1:7" hidden="1">
      <c r="A189" s="1" t="s">
        <v>18</v>
      </c>
      <c r="B189" s="1" t="s">
        <v>24</v>
      </c>
      <c r="C189" s="1" t="s">
        <v>213</v>
      </c>
      <c r="D189" t="str">
        <f>VLOOKUP(A189,googleAdCopyOutput!A:C,2,1)</f>
        <v>Fix doors that stick, sag or drag (33)</v>
      </c>
      <c r="E189" t="str">
        <f>VLOOKUP(A189,googleAdCopyOutput!A:C,3,2)</f>
        <v>Hinges, locks and security doors (32)</v>
      </c>
      <c r="F189" t="str">
        <f t="shared" si="4"/>
        <v>Fix doors that stick, sag or drag</v>
      </c>
      <c r="G189" t="str">
        <f t="shared" si="5"/>
        <v>Hinges, locks and security doors</v>
      </c>
    </row>
    <row r="190" spans="1:7" hidden="1">
      <c r="A190" s="1" t="s">
        <v>18</v>
      </c>
      <c r="B190" s="1" t="s">
        <v>24</v>
      </c>
      <c r="C190" s="1" t="s">
        <v>214</v>
      </c>
      <c r="D190" t="str">
        <f>VLOOKUP(A190,googleAdCopyOutput!A:C,2,1)</f>
        <v>Fix doors that stick, sag or drag (33)</v>
      </c>
      <c r="E190" t="str">
        <f>VLOOKUP(A190,googleAdCopyOutput!A:C,3,2)</f>
        <v>Hinges, locks and security doors (32)</v>
      </c>
      <c r="F190" t="str">
        <f t="shared" si="4"/>
        <v>Fix doors that stick, sag or drag</v>
      </c>
      <c r="G190" t="str">
        <f t="shared" si="5"/>
        <v>Hinges, locks and security doors</v>
      </c>
    </row>
    <row r="191" spans="1:7" hidden="1">
      <c r="A191" s="1" t="s">
        <v>18</v>
      </c>
      <c r="B191" s="1" t="s">
        <v>41</v>
      </c>
      <c r="C191" s="1" t="s">
        <v>215</v>
      </c>
      <c r="D191" t="str">
        <f>VLOOKUP(A191,googleAdCopyOutput!A:C,2,1)</f>
        <v>Fix doors that stick, sag or drag (33)</v>
      </c>
      <c r="E191" t="str">
        <f>VLOOKUP(A191,googleAdCopyOutput!A:C,3,2)</f>
        <v>Hinges, locks and security doors (32)</v>
      </c>
      <c r="F191" t="str">
        <f t="shared" si="4"/>
        <v>Fix doors that stick, sag or drag</v>
      </c>
      <c r="G191" t="str">
        <f t="shared" si="5"/>
        <v>Hinges, locks and security doors</v>
      </c>
    </row>
    <row r="192" spans="1:7" hidden="1">
      <c r="A192" s="1" t="s">
        <v>18</v>
      </c>
      <c r="B192" s="1" t="s">
        <v>41</v>
      </c>
      <c r="C192" s="1" t="s">
        <v>216</v>
      </c>
      <c r="D192" t="str">
        <f>VLOOKUP(A192,googleAdCopyOutput!A:C,2,1)</f>
        <v>Fix doors that stick, sag or drag (33)</v>
      </c>
      <c r="E192" t="str">
        <f>VLOOKUP(A192,googleAdCopyOutput!A:C,3,2)</f>
        <v>Hinges, locks and security doors (32)</v>
      </c>
      <c r="F192" t="str">
        <f t="shared" si="4"/>
        <v>Fix doors that stick, sag or drag</v>
      </c>
      <c r="G192" t="str">
        <f t="shared" si="5"/>
        <v>Hinges, locks and security doors</v>
      </c>
    </row>
    <row r="193" spans="1:7" hidden="1">
      <c r="A193" s="1" t="s">
        <v>18</v>
      </c>
      <c r="B193" s="1" t="s">
        <v>41</v>
      </c>
      <c r="C193" s="1" t="s">
        <v>217</v>
      </c>
      <c r="D193" t="str">
        <f>VLOOKUP(A193,googleAdCopyOutput!A:C,2,1)</f>
        <v>Fix doors that stick, sag or drag (33)</v>
      </c>
      <c r="E193" t="str">
        <f>VLOOKUP(A193,googleAdCopyOutput!A:C,3,2)</f>
        <v>Hinges, locks and security doors (32)</v>
      </c>
      <c r="F193" t="str">
        <f t="shared" si="4"/>
        <v>Fix doors that stick, sag or drag</v>
      </c>
      <c r="G193" t="str">
        <f t="shared" si="5"/>
        <v>Hinges, locks and security doors</v>
      </c>
    </row>
    <row r="194" spans="1:7" hidden="1">
      <c r="A194" s="1" t="s">
        <v>18</v>
      </c>
      <c r="B194" s="1" t="s">
        <v>41</v>
      </c>
      <c r="C194" s="1" t="s">
        <v>218</v>
      </c>
      <c r="D194" t="str">
        <f>VLOOKUP(A194,googleAdCopyOutput!A:C,2,1)</f>
        <v>Fix doors that stick, sag or drag (33)</v>
      </c>
      <c r="E194" t="str">
        <f>VLOOKUP(A194,googleAdCopyOutput!A:C,3,2)</f>
        <v>Hinges, locks and security doors (32)</v>
      </c>
      <c r="F194" t="str">
        <f t="shared" si="4"/>
        <v>Fix doors that stick, sag or drag</v>
      </c>
      <c r="G194" t="str">
        <f t="shared" si="5"/>
        <v>Hinges, locks and security doors</v>
      </c>
    </row>
    <row r="195" spans="1:7" hidden="1">
      <c r="A195" s="1" t="s">
        <v>18</v>
      </c>
      <c r="B195" s="1" t="s">
        <v>41</v>
      </c>
      <c r="C195" s="1" t="s">
        <v>219</v>
      </c>
      <c r="D195" t="str">
        <f>VLOOKUP(A195,googleAdCopyOutput!A:C,2,1)</f>
        <v>Fix doors that stick, sag or drag (33)</v>
      </c>
      <c r="E195" t="str">
        <f>VLOOKUP(A195,googleAdCopyOutput!A:C,3,2)</f>
        <v>Hinges, locks and security doors (32)</v>
      </c>
      <c r="F195" t="str">
        <f t="shared" ref="F195:F244" si="6">LEFT(D195,LEN(D195)-5)</f>
        <v>Fix doors that stick, sag or drag</v>
      </c>
      <c r="G195" t="str">
        <f t="shared" ref="G195:G244" si="7">LEFT(E195,LEN(E195)-5)</f>
        <v>Hinges, locks and security doors</v>
      </c>
    </row>
    <row r="196" spans="1:7" hidden="1">
      <c r="A196" s="1" t="s">
        <v>18</v>
      </c>
      <c r="B196" s="1" t="s">
        <v>41</v>
      </c>
      <c r="C196" s="1" t="s">
        <v>220</v>
      </c>
      <c r="D196" t="str">
        <f>VLOOKUP(A196,googleAdCopyOutput!A:C,2,1)</f>
        <v>Fix doors that stick, sag or drag (33)</v>
      </c>
      <c r="E196" t="str">
        <f>VLOOKUP(A196,googleAdCopyOutput!A:C,3,2)</f>
        <v>Hinges, locks and security doors (32)</v>
      </c>
      <c r="F196" t="str">
        <f t="shared" si="6"/>
        <v>Fix doors that stick, sag or drag</v>
      </c>
      <c r="G196" t="str">
        <f t="shared" si="7"/>
        <v>Hinges, locks and security doors</v>
      </c>
    </row>
    <row r="197" spans="1:7" hidden="1">
      <c r="A197" s="1" t="s">
        <v>18</v>
      </c>
      <c r="B197" s="1" t="s">
        <v>41</v>
      </c>
      <c r="C197" s="1" t="s">
        <v>221</v>
      </c>
      <c r="D197" t="str">
        <f>VLOOKUP(A197,googleAdCopyOutput!A:C,2,1)</f>
        <v>Fix doors that stick, sag or drag (33)</v>
      </c>
      <c r="E197" t="str">
        <f>VLOOKUP(A197,googleAdCopyOutput!A:C,3,2)</f>
        <v>Hinges, locks and security doors (32)</v>
      </c>
      <c r="F197" t="str">
        <f t="shared" si="6"/>
        <v>Fix doors that stick, sag or drag</v>
      </c>
      <c r="G197" t="str">
        <f t="shared" si="7"/>
        <v>Hinges, locks and security doors</v>
      </c>
    </row>
    <row r="198" spans="1:7" hidden="1">
      <c r="A198" s="1" t="s">
        <v>18</v>
      </c>
      <c r="B198" s="1" t="s">
        <v>41</v>
      </c>
      <c r="C198" s="1" t="s">
        <v>222</v>
      </c>
      <c r="D198" t="str">
        <f>VLOOKUP(A198,googleAdCopyOutput!A:C,2,1)</f>
        <v>Fix doors that stick, sag or drag (33)</v>
      </c>
      <c r="E198" t="str">
        <f>VLOOKUP(A198,googleAdCopyOutput!A:C,3,2)</f>
        <v>Hinges, locks and security doors (32)</v>
      </c>
      <c r="F198" t="str">
        <f t="shared" si="6"/>
        <v>Fix doors that stick, sag or drag</v>
      </c>
      <c r="G198" t="str">
        <f t="shared" si="7"/>
        <v>Hinges, locks and security doors</v>
      </c>
    </row>
    <row r="199" spans="1:7" hidden="1">
      <c r="A199" s="1" t="s">
        <v>18</v>
      </c>
      <c r="B199" s="1" t="s">
        <v>41</v>
      </c>
      <c r="C199" s="1" t="s">
        <v>223</v>
      </c>
      <c r="D199" t="str">
        <f>VLOOKUP(A199,googleAdCopyOutput!A:C,2,1)</f>
        <v>Fix doors that stick, sag or drag (33)</v>
      </c>
      <c r="E199" t="str">
        <f>VLOOKUP(A199,googleAdCopyOutput!A:C,3,2)</f>
        <v>Hinges, locks and security doors (32)</v>
      </c>
      <c r="F199" t="str">
        <f t="shared" si="6"/>
        <v>Fix doors that stick, sag or drag</v>
      </c>
      <c r="G199" t="str">
        <f t="shared" si="7"/>
        <v>Hinges, locks and security doors</v>
      </c>
    </row>
    <row r="200" spans="1:7" hidden="1">
      <c r="A200" s="1" t="s">
        <v>18</v>
      </c>
      <c r="B200" s="1" t="s">
        <v>41</v>
      </c>
      <c r="C200" s="1" t="s">
        <v>224</v>
      </c>
      <c r="D200" t="str">
        <f>VLOOKUP(A200,googleAdCopyOutput!A:C,2,1)</f>
        <v>Fix doors that stick, sag or drag (33)</v>
      </c>
      <c r="E200" t="str">
        <f>VLOOKUP(A200,googleAdCopyOutput!A:C,3,2)</f>
        <v>Hinges, locks and security doors (32)</v>
      </c>
      <c r="F200" t="str">
        <f t="shared" si="6"/>
        <v>Fix doors that stick, sag or drag</v>
      </c>
      <c r="G200" t="str">
        <f t="shared" si="7"/>
        <v>Hinges, locks and security doors</v>
      </c>
    </row>
    <row r="201" spans="1:7" hidden="1">
      <c r="A201" s="1" t="s">
        <v>18</v>
      </c>
      <c r="B201" s="1" t="s">
        <v>41</v>
      </c>
      <c r="C201" s="1" t="s">
        <v>225</v>
      </c>
      <c r="D201" t="str">
        <f>VLOOKUP(A201,googleAdCopyOutput!A:C,2,1)</f>
        <v>Fix doors that stick, sag or drag (33)</v>
      </c>
      <c r="E201" t="str">
        <f>VLOOKUP(A201,googleAdCopyOutput!A:C,3,2)</f>
        <v>Hinges, locks and security doors (32)</v>
      </c>
      <c r="F201" t="str">
        <f t="shared" si="6"/>
        <v>Fix doors that stick, sag or drag</v>
      </c>
      <c r="G201" t="str">
        <f t="shared" si="7"/>
        <v>Hinges, locks and security doors</v>
      </c>
    </row>
    <row r="202" spans="1:7" hidden="1">
      <c r="A202" s="1" t="s">
        <v>18</v>
      </c>
      <c r="B202" s="1" t="s">
        <v>41</v>
      </c>
      <c r="C202" s="1" t="s">
        <v>226</v>
      </c>
      <c r="D202" t="str">
        <f>VLOOKUP(A202,googleAdCopyOutput!A:C,2,1)</f>
        <v>Fix doors that stick, sag or drag (33)</v>
      </c>
      <c r="E202" t="str">
        <f>VLOOKUP(A202,googleAdCopyOutput!A:C,3,2)</f>
        <v>Hinges, locks and security doors (32)</v>
      </c>
      <c r="F202" t="str">
        <f t="shared" si="6"/>
        <v>Fix doors that stick, sag or drag</v>
      </c>
      <c r="G202" t="str">
        <f t="shared" si="7"/>
        <v>Hinges, locks and security doors</v>
      </c>
    </row>
    <row r="203" spans="1:7" hidden="1">
      <c r="A203" s="1" t="s">
        <v>18</v>
      </c>
      <c r="B203" s="1" t="s">
        <v>41</v>
      </c>
      <c r="C203" s="1" t="s">
        <v>227</v>
      </c>
      <c r="D203" t="str">
        <f>VLOOKUP(A203,googleAdCopyOutput!A:C,2,1)</f>
        <v>Fix doors that stick, sag or drag (33)</v>
      </c>
      <c r="E203" t="str">
        <f>VLOOKUP(A203,googleAdCopyOutput!A:C,3,2)</f>
        <v>Hinges, locks and security doors (32)</v>
      </c>
      <c r="F203" t="str">
        <f t="shared" si="6"/>
        <v>Fix doors that stick, sag or drag</v>
      </c>
      <c r="G203" t="str">
        <f t="shared" si="7"/>
        <v>Hinges, locks and security doors</v>
      </c>
    </row>
    <row r="204" spans="1:7" hidden="1">
      <c r="A204" s="1" t="s">
        <v>18</v>
      </c>
      <c r="B204" s="1" t="s">
        <v>41</v>
      </c>
      <c r="C204" s="1" t="s">
        <v>55</v>
      </c>
      <c r="D204" t="str">
        <f>VLOOKUP(A204,googleAdCopyOutput!A:C,2,1)</f>
        <v>Fix doors that stick, sag or drag (33)</v>
      </c>
      <c r="E204" t="str">
        <f>VLOOKUP(A204,googleAdCopyOutput!A:C,3,2)</f>
        <v>Hinges, locks and security doors (32)</v>
      </c>
      <c r="F204" t="str">
        <f t="shared" si="6"/>
        <v>Fix doors that stick, sag or drag</v>
      </c>
      <c r="G204" t="str">
        <f t="shared" si="7"/>
        <v>Hinges, locks and security doors</v>
      </c>
    </row>
    <row r="205" spans="1:7" hidden="1">
      <c r="A205" s="1" t="s">
        <v>18</v>
      </c>
      <c r="B205" s="1" t="s">
        <v>41</v>
      </c>
      <c r="C205" s="1" t="s">
        <v>228</v>
      </c>
      <c r="D205" t="str">
        <f>VLOOKUP(A205,googleAdCopyOutput!A:C,2,1)</f>
        <v>Fix doors that stick, sag or drag (33)</v>
      </c>
      <c r="E205" t="str">
        <f>VLOOKUP(A205,googleAdCopyOutput!A:C,3,2)</f>
        <v>Hinges, locks and security doors (32)</v>
      </c>
      <c r="F205" t="str">
        <f t="shared" si="6"/>
        <v>Fix doors that stick, sag or drag</v>
      </c>
      <c r="G205" t="str">
        <f t="shared" si="7"/>
        <v>Hinges, locks and security doors</v>
      </c>
    </row>
    <row r="206" spans="1:7" hidden="1">
      <c r="A206" s="1" t="s">
        <v>18</v>
      </c>
      <c r="B206" s="1" t="s">
        <v>57</v>
      </c>
      <c r="C206" s="1" t="s">
        <v>229</v>
      </c>
      <c r="D206" t="str">
        <f>VLOOKUP(A206,googleAdCopyOutput!A:C,2,1)</f>
        <v>Fix doors that stick, sag or drag (33)</v>
      </c>
      <c r="E206" t="str">
        <f>VLOOKUP(A206,googleAdCopyOutput!A:C,3,2)</f>
        <v>Hinges, locks and security doors (32)</v>
      </c>
      <c r="F206" t="str">
        <f t="shared" si="6"/>
        <v>Fix doors that stick, sag or drag</v>
      </c>
      <c r="G206" t="str">
        <f t="shared" si="7"/>
        <v>Hinges, locks and security doors</v>
      </c>
    </row>
    <row r="207" spans="1:7" hidden="1">
      <c r="A207" s="1" t="s">
        <v>18</v>
      </c>
      <c r="B207" s="1" t="s">
        <v>57</v>
      </c>
      <c r="C207" s="1" t="s">
        <v>230</v>
      </c>
      <c r="D207" t="str">
        <f>VLOOKUP(A207,googleAdCopyOutput!A:C,2,1)</f>
        <v>Fix doors that stick, sag or drag (33)</v>
      </c>
      <c r="E207" t="str">
        <f>VLOOKUP(A207,googleAdCopyOutput!A:C,3,2)</f>
        <v>Hinges, locks and security doors (32)</v>
      </c>
      <c r="F207" t="str">
        <f t="shared" si="6"/>
        <v>Fix doors that stick, sag or drag</v>
      </c>
      <c r="G207" t="str">
        <f t="shared" si="7"/>
        <v>Hinges, locks and security doors</v>
      </c>
    </row>
    <row r="208" spans="1:7" hidden="1">
      <c r="A208" s="1" t="s">
        <v>18</v>
      </c>
      <c r="B208" s="1" t="s">
        <v>57</v>
      </c>
      <c r="C208" s="1" t="s">
        <v>231</v>
      </c>
      <c r="D208" t="str">
        <f>VLOOKUP(A208,googleAdCopyOutput!A:C,2,1)</f>
        <v>Fix doors that stick, sag or drag (33)</v>
      </c>
      <c r="E208" t="str">
        <f>VLOOKUP(A208,googleAdCopyOutput!A:C,3,2)</f>
        <v>Hinges, locks and security doors (32)</v>
      </c>
      <c r="F208" t="str">
        <f t="shared" si="6"/>
        <v>Fix doors that stick, sag or drag</v>
      </c>
      <c r="G208" t="str">
        <f t="shared" si="7"/>
        <v>Hinges, locks and security doors</v>
      </c>
    </row>
    <row r="209" spans="1:7" hidden="1">
      <c r="A209" s="1" t="s">
        <v>18</v>
      </c>
      <c r="B209" s="1" t="s">
        <v>57</v>
      </c>
      <c r="C209" s="1" t="s">
        <v>232</v>
      </c>
      <c r="D209" t="str">
        <f>VLOOKUP(A209,googleAdCopyOutput!A:C,2,1)</f>
        <v>Fix doors that stick, sag or drag (33)</v>
      </c>
      <c r="E209" t="str">
        <f>VLOOKUP(A209,googleAdCopyOutput!A:C,3,2)</f>
        <v>Hinges, locks and security doors (32)</v>
      </c>
      <c r="F209" t="str">
        <f t="shared" si="6"/>
        <v>Fix doors that stick, sag or drag</v>
      </c>
      <c r="G209" t="str">
        <f t="shared" si="7"/>
        <v>Hinges, locks and security doors</v>
      </c>
    </row>
    <row r="210" spans="1:7" hidden="1">
      <c r="A210" s="1" t="s">
        <v>21</v>
      </c>
      <c r="B210" s="1" t="s">
        <v>24</v>
      </c>
      <c r="C210" s="1" t="s">
        <v>233</v>
      </c>
      <c r="D210" t="str">
        <f>VLOOKUP(A210,googleAdCopyOutput!A:C,2,1)</f>
        <v>Bundle several repairs in one visit (35)</v>
      </c>
      <c r="E210" t="str">
        <f>VLOOKUP(A210,googleAdCopyOutput!A:C,3,2)</f>
        <v>Move-in, turnover and fix-up work (33)</v>
      </c>
      <c r="F210" t="str">
        <f t="shared" si="6"/>
        <v>Bundle several repairs in one visit</v>
      </c>
      <c r="G210" t="str">
        <f t="shared" si="7"/>
        <v>Move-in, turnover and fix-up work</v>
      </c>
    </row>
    <row r="211" spans="1:7" hidden="1">
      <c r="A211" s="1" t="s">
        <v>21</v>
      </c>
      <c r="B211" s="1" t="s">
        <v>24</v>
      </c>
      <c r="C211" s="1" t="s">
        <v>234</v>
      </c>
      <c r="D211" t="str">
        <f>VLOOKUP(A211,googleAdCopyOutput!A:C,2,1)</f>
        <v>Bundle several repairs in one visit (35)</v>
      </c>
      <c r="E211" t="str">
        <f>VLOOKUP(A211,googleAdCopyOutput!A:C,3,2)</f>
        <v>Move-in, turnover and fix-up work (33)</v>
      </c>
      <c r="F211" t="str">
        <f t="shared" si="6"/>
        <v>Bundle several repairs in one visit</v>
      </c>
      <c r="G211" t="str">
        <f t="shared" si="7"/>
        <v>Move-in, turnover and fix-up work</v>
      </c>
    </row>
    <row r="212" spans="1:7" hidden="1">
      <c r="A212" s="1" t="s">
        <v>21</v>
      </c>
      <c r="B212" s="1" t="s">
        <v>24</v>
      </c>
      <c r="C212" s="1" t="s">
        <v>235</v>
      </c>
      <c r="D212" t="str">
        <f>VLOOKUP(A212,googleAdCopyOutput!A:C,2,1)</f>
        <v>Bundle several repairs in one visit (35)</v>
      </c>
      <c r="E212" t="str">
        <f>VLOOKUP(A212,googleAdCopyOutput!A:C,3,2)</f>
        <v>Move-in, turnover and fix-up work (33)</v>
      </c>
      <c r="F212" t="str">
        <f t="shared" si="6"/>
        <v>Bundle several repairs in one visit</v>
      </c>
      <c r="G212" t="str">
        <f t="shared" si="7"/>
        <v>Move-in, turnover and fix-up work</v>
      </c>
    </row>
    <row r="213" spans="1:7" hidden="1">
      <c r="A213" s="1" t="s">
        <v>21</v>
      </c>
      <c r="B213" s="1" t="s">
        <v>24</v>
      </c>
      <c r="C213" s="1" t="s">
        <v>236</v>
      </c>
      <c r="D213" t="str">
        <f>VLOOKUP(A213,googleAdCopyOutput!A:C,2,1)</f>
        <v>Bundle several repairs in one visit (35)</v>
      </c>
      <c r="E213" t="str">
        <f>VLOOKUP(A213,googleAdCopyOutput!A:C,3,2)</f>
        <v>Move-in, turnover and fix-up work (33)</v>
      </c>
      <c r="F213" t="str">
        <f t="shared" si="6"/>
        <v>Bundle several repairs in one visit</v>
      </c>
      <c r="G213" t="str">
        <f t="shared" si="7"/>
        <v>Move-in, turnover and fix-up work</v>
      </c>
    </row>
    <row r="214" spans="1:7" hidden="1">
      <c r="A214" s="1" t="s">
        <v>21</v>
      </c>
      <c r="B214" s="1" t="s">
        <v>24</v>
      </c>
      <c r="C214" s="1" t="s">
        <v>237</v>
      </c>
      <c r="D214" t="str">
        <f>VLOOKUP(A214,googleAdCopyOutput!A:C,2,1)</f>
        <v>Bundle several repairs in one visit (35)</v>
      </c>
      <c r="E214" t="str">
        <f>VLOOKUP(A214,googleAdCopyOutput!A:C,3,2)</f>
        <v>Move-in, turnover and fix-up work (33)</v>
      </c>
      <c r="F214" t="str">
        <f t="shared" si="6"/>
        <v>Bundle several repairs in one visit</v>
      </c>
      <c r="G214" t="str">
        <f t="shared" si="7"/>
        <v>Move-in, turnover and fix-up work</v>
      </c>
    </row>
    <row r="215" spans="1:7" hidden="1">
      <c r="A215" s="1" t="s">
        <v>21</v>
      </c>
      <c r="B215" s="1" t="s">
        <v>24</v>
      </c>
      <c r="C215" s="1" t="s">
        <v>238</v>
      </c>
      <c r="D215" t="str">
        <f>VLOOKUP(A215,googleAdCopyOutput!A:C,2,1)</f>
        <v>Bundle several repairs in one visit (35)</v>
      </c>
      <c r="E215" t="str">
        <f>VLOOKUP(A215,googleAdCopyOutput!A:C,3,2)</f>
        <v>Move-in, turnover and fix-up work (33)</v>
      </c>
      <c r="F215" t="str">
        <f t="shared" si="6"/>
        <v>Bundle several repairs in one visit</v>
      </c>
      <c r="G215" t="str">
        <f t="shared" si="7"/>
        <v>Move-in, turnover and fix-up work</v>
      </c>
    </row>
    <row r="216" spans="1:7" hidden="1">
      <c r="A216" s="1" t="s">
        <v>21</v>
      </c>
      <c r="B216" s="1" t="s">
        <v>24</v>
      </c>
      <c r="C216" s="1" t="s">
        <v>239</v>
      </c>
      <c r="D216" t="str">
        <f>VLOOKUP(A216,googleAdCopyOutput!A:C,2,1)</f>
        <v>Bundle several repairs in one visit (35)</v>
      </c>
      <c r="E216" t="str">
        <f>VLOOKUP(A216,googleAdCopyOutput!A:C,3,2)</f>
        <v>Move-in, turnover and fix-up work (33)</v>
      </c>
      <c r="F216" t="str">
        <f t="shared" si="6"/>
        <v>Bundle several repairs in one visit</v>
      </c>
      <c r="G216" t="str">
        <f t="shared" si="7"/>
        <v>Move-in, turnover and fix-up work</v>
      </c>
    </row>
    <row r="217" spans="1:7" hidden="1">
      <c r="A217" s="1" t="s">
        <v>21</v>
      </c>
      <c r="B217" s="1" t="s">
        <v>24</v>
      </c>
      <c r="C217" s="1" t="s">
        <v>240</v>
      </c>
      <c r="D217" t="str">
        <f>VLOOKUP(A217,googleAdCopyOutput!A:C,2,1)</f>
        <v>Bundle several repairs in one visit (35)</v>
      </c>
      <c r="E217" t="str">
        <f>VLOOKUP(A217,googleAdCopyOutput!A:C,3,2)</f>
        <v>Move-in, turnover and fix-up work (33)</v>
      </c>
      <c r="F217" t="str">
        <f t="shared" si="6"/>
        <v>Bundle several repairs in one visit</v>
      </c>
      <c r="G217" t="str">
        <f t="shared" si="7"/>
        <v>Move-in, turnover and fix-up work</v>
      </c>
    </row>
    <row r="218" spans="1:7" hidden="1">
      <c r="A218" s="1" t="s">
        <v>21</v>
      </c>
      <c r="B218" s="1" t="s">
        <v>24</v>
      </c>
      <c r="C218" s="1" t="s">
        <v>241</v>
      </c>
      <c r="D218" t="str">
        <f>VLOOKUP(A218,googleAdCopyOutput!A:C,2,1)</f>
        <v>Bundle several repairs in one visit (35)</v>
      </c>
      <c r="E218" t="str">
        <f>VLOOKUP(A218,googleAdCopyOutput!A:C,3,2)</f>
        <v>Move-in, turnover and fix-up work (33)</v>
      </c>
      <c r="F218" t="str">
        <f t="shared" si="6"/>
        <v>Bundle several repairs in one visit</v>
      </c>
      <c r="G218" t="str">
        <f t="shared" si="7"/>
        <v>Move-in, turnover and fix-up work</v>
      </c>
    </row>
    <row r="219" spans="1:7" hidden="1">
      <c r="A219" s="1" t="s">
        <v>21</v>
      </c>
      <c r="B219" s="1" t="s">
        <v>24</v>
      </c>
      <c r="C219" s="1" t="s">
        <v>242</v>
      </c>
      <c r="D219" t="str">
        <f>VLOOKUP(A219,googleAdCopyOutput!A:C,2,1)</f>
        <v>Bundle several repairs in one visit (35)</v>
      </c>
      <c r="E219" t="str">
        <f>VLOOKUP(A219,googleAdCopyOutput!A:C,3,2)</f>
        <v>Move-in, turnover and fix-up work (33)</v>
      </c>
      <c r="F219" t="str">
        <f t="shared" si="6"/>
        <v>Bundle several repairs in one visit</v>
      </c>
      <c r="G219" t="str">
        <f t="shared" si="7"/>
        <v>Move-in, turnover and fix-up work</v>
      </c>
    </row>
    <row r="220" spans="1:7" hidden="1">
      <c r="A220" s="1" t="s">
        <v>21</v>
      </c>
      <c r="B220" s="1" t="s">
        <v>24</v>
      </c>
      <c r="C220" s="1" t="s">
        <v>243</v>
      </c>
      <c r="D220" t="str">
        <f>VLOOKUP(A220,googleAdCopyOutput!A:C,2,1)</f>
        <v>Bundle several repairs in one visit (35)</v>
      </c>
      <c r="E220" t="str">
        <f>VLOOKUP(A220,googleAdCopyOutput!A:C,3,2)</f>
        <v>Move-in, turnover and fix-up work (33)</v>
      </c>
      <c r="F220" t="str">
        <f t="shared" si="6"/>
        <v>Bundle several repairs in one visit</v>
      </c>
      <c r="G220" t="str">
        <f t="shared" si="7"/>
        <v>Move-in, turnover and fix-up work</v>
      </c>
    </row>
    <row r="221" spans="1:7" hidden="1">
      <c r="A221" s="1" t="s">
        <v>21</v>
      </c>
      <c r="B221" s="1" t="s">
        <v>24</v>
      </c>
      <c r="C221" s="1" t="s">
        <v>244</v>
      </c>
      <c r="D221" t="str">
        <f>VLOOKUP(A221,googleAdCopyOutput!A:C,2,1)</f>
        <v>Bundle several repairs in one visit (35)</v>
      </c>
      <c r="E221" t="str">
        <f>VLOOKUP(A221,googleAdCopyOutput!A:C,3,2)</f>
        <v>Move-in, turnover and fix-up work (33)</v>
      </c>
      <c r="F221" t="str">
        <f t="shared" si="6"/>
        <v>Bundle several repairs in one visit</v>
      </c>
      <c r="G221" t="str">
        <f t="shared" si="7"/>
        <v>Move-in, turnover and fix-up work</v>
      </c>
    </row>
    <row r="222" spans="1:7" hidden="1">
      <c r="A222" s="1" t="s">
        <v>21</v>
      </c>
      <c r="B222" s="1" t="s">
        <v>24</v>
      </c>
      <c r="C222" s="1" t="s">
        <v>245</v>
      </c>
      <c r="D222" t="str">
        <f>VLOOKUP(A222,googleAdCopyOutput!A:C,2,1)</f>
        <v>Bundle several repairs in one visit (35)</v>
      </c>
      <c r="E222" t="str">
        <f>VLOOKUP(A222,googleAdCopyOutput!A:C,3,2)</f>
        <v>Move-in, turnover and fix-up work (33)</v>
      </c>
      <c r="F222" t="str">
        <f t="shared" si="6"/>
        <v>Bundle several repairs in one visit</v>
      </c>
      <c r="G222" t="str">
        <f t="shared" si="7"/>
        <v>Move-in, turnover and fix-up work</v>
      </c>
    </row>
    <row r="223" spans="1:7" hidden="1">
      <c r="A223" s="1" t="s">
        <v>21</v>
      </c>
      <c r="B223" s="1" t="s">
        <v>24</v>
      </c>
      <c r="C223" s="1" t="s">
        <v>246</v>
      </c>
      <c r="D223" t="str">
        <f>VLOOKUP(A223,googleAdCopyOutput!A:C,2,1)</f>
        <v>Bundle several repairs in one visit (35)</v>
      </c>
      <c r="E223" t="str">
        <f>VLOOKUP(A223,googleAdCopyOutput!A:C,3,2)</f>
        <v>Move-in, turnover and fix-up work (33)</v>
      </c>
      <c r="F223" t="str">
        <f t="shared" si="6"/>
        <v>Bundle several repairs in one visit</v>
      </c>
      <c r="G223" t="str">
        <f t="shared" si="7"/>
        <v>Move-in, turnover and fix-up work</v>
      </c>
    </row>
    <row r="224" spans="1:7" hidden="1">
      <c r="A224" s="1" t="s">
        <v>21</v>
      </c>
      <c r="B224" s="1" t="s">
        <v>24</v>
      </c>
      <c r="C224" s="1" t="s">
        <v>247</v>
      </c>
      <c r="D224" t="str">
        <f>VLOOKUP(A224,googleAdCopyOutput!A:C,2,1)</f>
        <v>Bundle several repairs in one visit (35)</v>
      </c>
      <c r="E224" t="str">
        <f>VLOOKUP(A224,googleAdCopyOutput!A:C,3,2)</f>
        <v>Move-in, turnover and fix-up work (33)</v>
      </c>
      <c r="F224" t="str">
        <f t="shared" si="6"/>
        <v>Bundle several repairs in one visit</v>
      </c>
      <c r="G224" t="str">
        <f t="shared" si="7"/>
        <v>Move-in, turnover and fix-up work</v>
      </c>
    </row>
    <row r="225" spans="1:7" hidden="1">
      <c r="A225" s="1" t="s">
        <v>21</v>
      </c>
      <c r="B225" s="1" t="s">
        <v>24</v>
      </c>
      <c r="C225" s="1" t="s">
        <v>248</v>
      </c>
      <c r="D225" t="str">
        <f>VLOOKUP(A225,googleAdCopyOutput!A:C,2,1)</f>
        <v>Bundle several repairs in one visit (35)</v>
      </c>
      <c r="E225" t="str">
        <f>VLOOKUP(A225,googleAdCopyOutput!A:C,3,2)</f>
        <v>Move-in, turnover and fix-up work (33)</v>
      </c>
      <c r="F225" t="str">
        <f t="shared" si="6"/>
        <v>Bundle several repairs in one visit</v>
      </c>
      <c r="G225" t="str">
        <f t="shared" si="7"/>
        <v>Move-in, turnover and fix-up work</v>
      </c>
    </row>
    <row r="226" spans="1:7" hidden="1">
      <c r="A226" s="1" t="s">
        <v>21</v>
      </c>
      <c r="B226" s="1" t="s">
        <v>41</v>
      </c>
      <c r="C226" s="1" t="s">
        <v>249</v>
      </c>
      <c r="D226" t="str">
        <f>VLOOKUP(A226,googleAdCopyOutput!A:C,2,1)</f>
        <v>Bundle several repairs in one visit (35)</v>
      </c>
      <c r="E226" t="str">
        <f>VLOOKUP(A226,googleAdCopyOutput!A:C,3,2)</f>
        <v>Move-in, turnover and fix-up work (33)</v>
      </c>
      <c r="F226" t="str">
        <f t="shared" si="6"/>
        <v>Bundle several repairs in one visit</v>
      </c>
      <c r="G226" t="str">
        <f t="shared" si="7"/>
        <v>Move-in, turnover and fix-up work</v>
      </c>
    </row>
    <row r="227" spans="1:7" hidden="1">
      <c r="A227" s="1" t="s">
        <v>21</v>
      </c>
      <c r="B227" s="1" t="s">
        <v>41</v>
      </c>
      <c r="C227" s="1" t="s">
        <v>250</v>
      </c>
      <c r="D227" t="str">
        <f>VLOOKUP(A227,googleAdCopyOutput!A:C,2,1)</f>
        <v>Bundle several repairs in one visit (35)</v>
      </c>
      <c r="E227" t="str">
        <f>VLOOKUP(A227,googleAdCopyOutput!A:C,3,2)</f>
        <v>Move-in, turnover and fix-up work (33)</v>
      </c>
      <c r="F227" t="str">
        <f t="shared" si="6"/>
        <v>Bundle several repairs in one visit</v>
      </c>
      <c r="G227" t="str">
        <f t="shared" si="7"/>
        <v>Move-in, turnover and fix-up work</v>
      </c>
    </row>
    <row r="228" spans="1:7" hidden="1">
      <c r="A228" s="1" t="s">
        <v>21</v>
      </c>
      <c r="B228" s="1" t="s">
        <v>41</v>
      </c>
      <c r="C228" s="1" t="s">
        <v>251</v>
      </c>
      <c r="D228" t="str">
        <f>VLOOKUP(A228,googleAdCopyOutput!A:C,2,1)</f>
        <v>Bundle several repairs in one visit (35)</v>
      </c>
      <c r="E228" t="str">
        <f>VLOOKUP(A228,googleAdCopyOutput!A:C,3,2)</f>
        <v>Move-in, turnover and fix-up work (33)</v>
      </c>
      <c r="F228" t="str">
        <f t="shared" si="6"/>
        <v>Bundle several repairs in one visit</v>
      </c>
      <c r="G228" t="str">
        <f t="shared" si="7"/>
        <v>Move-in, turnover and fix-up work</v>
      </c>
    </row>
    <row r="229" spans="1:7" hidden="1">
      <c r="A229" s="1" t="s">
        <v>21</v>
      </c>
      <c r="B229" s="1" t="s">
        <v>41</v>
      </c>
      <c r="C229" s="1" t="s">
        <v>252</v>
      </c>
      <c r="D229" t="str">
        <f>VLOOKUP(A229,googleAdCopyOutput!A:C,2,1)</f>
        <v>Bundle several repairs in one visit (35)</v>
      </c>
      <c r="E229" t="str">
        <f>VLOOKUP(A229,googleAdCopyOutput!A:C,3,2)</f>
        <v>Move-in, turnover and fix-up work (33)</v>
      </c>
      <c r="F229" t="str">
        <f t="shared" si="6"/>
        <v>Bundle several repairs in one visit</v>
      </c>
      <c r="G229" t="str">
        <f t="shared" si="7"/>
        <v>Move-in, turnover and fix-up work</v>
      </c>
    </row>
    <row r="230" spans="1:7" hidden="1">
      <c r="A230" s="1" t="s">
        <v>21</v>
      </c>
      <c r="B230" s="1" t="s">
        <v>41</v>
      </c>
      <c r="C230" s="1" t="s">
        <v>253</v>
      </c>
      <c r="D230" t="str">
        <f>VLOOKUP(A230,googleAdCopyOutput!A:C,2,1)</f>
        <v>Bundle several repairs in one visit (35)</v>
      </c>
      <c r="E230" t="str">
        <f>VLOOKUP(A230,googleAdCopyOutput!A:C,3,2)</f>
        <v>Move-in, turnover and fix-up work (33)</v>
      </c>
      <c r="F230" t="str">
        <f t="shared" si="6"/>
        <v>Bundle several repairs in one visit</v>
      </c>
      <c r="G230" t="str">
        <f t="shared" si="7"/>
        <v>Move-in, turnover and fix-up work</v>
      </c>
    </row>
    <row r="231" spans="1:7" hidden="1">
      <c r="A231" s="1" t="s">
        <v>21</v>
      </c>
      <c r="B231" s="1" t="s">
        <v>41</v>
      </c>
      <c r="C231" s="1" t="s">
        <v>254</v>
      </c>
      <c r="D231" t="str">
        <f>VLOOKUP(A231,googleAdCopyOutput!A:C,2,1)</f>
        <v>Bundle several repairs in one visit (35)</v>
      </c>
      <c r="E231" t="str">
        <f>VLOOKUP(A231,googleAdCopyOutput!A:C,3,2)</f>
        <v>Move-in, turnover and fix-up work (33)</v>
      </c>
      <c r="F231" t="str">
        <f t="shared" si="6"/>
        <v>Bundle several repairs in one visit</v>
      </c>
      <c r="G231" t="str">
        <f t="shared" si="7"/>
        <v>Move-in, turnover and fix-up work</v>
      </c>
    </row>
    <row r="232" spans="1:7" hidden="1">
      <c r="A232" s="1" t="s">
        <v>21</v>
      </c>
      <c r="B232" s="1" t="s">
        <v>41</v>
      </c>
      <c r="C232" s="1" t="s">
        <v>255</v>
      </c>
      <c r="D232" t="str">
        <f>VLOOKUP(A232,googleAdCopyOutput!A:C,2,1)</f>
        <v>Bundle several repairs in one visit (35)</v>
      </c>
      <c r="E232" t="str">
        <f>VLOOKUP(A232,googleAdCopyOutput!A:C,3,2)</f>
        <v>Move-in, turnover and fix-up work (33)</v>
      </c>
      <c r="F232" t="str">
        <f t="shared" si="6"/>
        <v>Bundle several repairs in one visit</v>
      </c>
      <c r="G232" t="str">
        <f t="shared" si="7"/>
        <v>Move-in, turnover and fix-up work</v>
      </c>
    </row>
    <row r="233" spans="1:7" hidden="1">
      <c r="A233" s="1" t="s">
        <v>21</v>
      </c>
      <c r="B233" s="1" t="s">
        <v>41</v>
      </c>
      <c r="C233" s="1" t="s">
        <v>256</v>
      </c>
      <c r="D233" t="str">
        <f>VLOOKUP(A233,googleAdCopyOutput!A:C,2,1)</f>
        <v>Bundle several repairs in one visit (35)</v>
      </c>
      <c r="E233" t="str">
        <f>VLOOKUP(A233,googleAdCopyOutput!A:C,3,2)</f>
        <v>Move-in, turnover and fix-up work (33)</v>
      </c>
      <c r="F233" t="str">
        <f t="shared" si="6"/>
        <v>Bundle several repairs in one visit</v>
      </c>
      <c r="G233" t="str">
        <f t="shared" si="7"/>
        <v>Move-in, turnover and fix-up work</v>
      </c>
    </row>
    <row r="234" spans="1:7" hidden="1">
      <c r="A234" s="1" t="s">
        <v>21</v>
      </c>
      <c r="B234" s="1" t="s">
        <v>41</v>
      </c>
      <c r="C234" s="1" t="s">
        <v>257</v>
      </c>
      <c r="D234" t="str">
        <f>VLOOKUP(A234,googleAdCopyOutput!A:C,2,1)</f>
        <v>Bundle several repairs in one visit (35)</v>
      </c>
      <c r="E234" t="str">
        <f>VLOOKUP(A234,googleAdCopyOutput!A:C,3,2)</f>
        <v>Move-in, turnover and fix-up work (33)</v>
      </c>
      <c r="F234" t="str">
        <f t="shared" si="6"/>
        <v>Bundle several repairs in one visit</v>
      </c>
      <c r="G234" t="str">
        <f t="shared" si="7"/>
        <v>Move-in, turnover and fix-up work</v>
      </c>
    </row>
    <row r="235" spans="1:7" hidden="1">
      <c r="A235" s="1" t="s">
        <v>21</v>
      </c>
      <c r="B235" s="1" t="s">
        <v>41</v>
      </c>
      <c r="C235" s="1" t="s">
        <v>258</v>
      </c>
      <c r="D235" t="str">
        <f>VLOOKUP(A235,googleAdCopyOutput!A:C,2,1)</f>
        <v>Bundle several repairs in one visit (35)</v>
      </c>
      <c r="E235" t="str">
        <f>VLOOKUP(A235,googleAdCopyOutput!A:C,3,2)</f>
        <v>Move-in, turnover and fix-up work (33)</v>
      </c>
      <c r="F235" t="str">
        <f t="shared" si="6"/>
        <v>Bundle several repairs in one visit</v>
      </c>
      <c r="G235" t="str">
        <f t="shared" si="7"/>
        <v>Move-in, turnover and fix-up work</v>
      </c>
    </row>
    <row r="236" spans="1:7" hidden="1">
      <c r="A236" s="1" t="s">
        <v>21</v>
      </c>
      <c r="B236" s="1" t="s">
        <v>41</v>
      </c>
      <c r="C236" s="1" t="s">
        <v>259</v>
      </c>
      <c r="D236" t="str">
        <f>VLOOKUP(A236,googleAdCopyOutput!A:C,2,1)</f>
        <v>Bundle several repairs in one visit (35)</v>
      </c>
      <c r="E236" t="str">
        <f>VLOOKUP(A236,googleAdCopyOutput!A:C,3,2)</f>
        <v>Move-in, turnover and fix-up work (33)</v>
      </c>
      <c r="F236" t="str">
        <f t="shared" si="6"/>
        <v>Bundle several repairs in one visit</v>
      </c>
      <c r="G236" t="str">
        <f t="shared" si="7"/>
        <v>Move-in, turnover and fix-up work</v>
      </c>
    </row>
    <row r="237" spans="1:7" hidden="1">
      <c r="A237" s="1" t="s">
        <v>21</v>
      </c>
      <c r="B237" s="1" t="s">
        <v>41</v>
      </c>
      <c r="C237" s="1" t="s">
        <v>260</v>
      </c>
      <c r="D237" t="str">
        <f>VLOOKUP(A237,googleAdCopyOutput!A:C,2,1)</f>
        <v>Bundle several repairs in one visit (35)</v>
      </c>
      <c r="E237" t="str">
        <f>VLOOKUP(A237,googleAdCopyOutput!A:C,3,2)</f>
        <v>Move-in, turnover and fix-up work (33)</v>
      </c>
      <c r="F237" t="str">
        <f t="shared" si="6"/>
        <v>Bundle several repairs in one visit</v>
      </c>
      <c r="G237" t="str">
        <f t="shared" si="7"/>
        <v>Move-in, turnover and fix-up work</v>
      </c>
    </row>
    <row r="238" spans="1:7" hidden="1">
      <c r="A238" s="1" t="s">
        <v>21</v>
      </c>
      <c r="B238" s="1" t="s">
        <v>41</v>
      </c>
      <c r="C238" s="1" t="s">
        <v>261</v>
      </c>
      <c r="D238" t="str">
        <f>VLOOKUP(A238,googleAdCopyOutput!A:C,2,1)</f>
        <v>Bundle several repairs in one visit (35)</v>
      </c>
      <c r="E238" t="str">
        <f>VLOOKUP(A238,googleAdCopyOutput!A:C,3,2)</f>
        <v>Move-in, turnover and fix-up work (33)</v>
      </c>
      <c r="F238" t="str">
        <f t="shared" si="6"/>
        <v>Bundle several repairs in one visit</v>
      </c>
      <c r="G238" t="str">
        <f t="shared" si="7"/>
        <v>Move-in, turnover and fix-up work</v>
      </c>
    </row>
    <row r="239" spans="1:7" hidden="1">
      <c r="A239" s="1" t="s">
        <v>21</v>
      </c>
      <c r="B239" s="1" t="s">
        <v>41</v>
      </c>
      <c r="C239" s="1" t="s">
        <v>262</v>
      </c>
      <c r="D239" t="str">
        <f>VLOOKUP(A239,googleAdCopyOutput!A:C,2,1)</f>
        <v>Bundle several repairs in one visit (35)</v>
      </c>
      <c r="E239" t="str">
        <f>VLOOKUP(A239,googleAdCopyOutput!A:C,3,2)</f>
        <v>Move-in, turnover and fix-up work (33)</v>
      </c>
      <c r="F239" t="str">
        <f t="shared" si="6"/>
        <v>Bundle several repairs in one visit</v>
      </c>
      <c r="G239" t="str">
        <f t="shared" si="7"/>
        <v>Move-in, turnover and fix-up work</v>
      </c>
    </row>
    <row r="240" spans="1:7" hidden="1">
      <c r="A240" s="1" t="s">
        <v>21</v>
      </c>
      <c r="B240" s="1" t="s">
        <v>41</v>
      </c>
      <c r="C240" s="1" t="s">
        <v>263</v>
      </c>
      <c r="D240" t="str">
        <f>VLOOKUP(A240,googleAdCopyOutput!A:C,2,1)</f>
        <v>Bundle several repairs in one visit (35)</v>
      </c>
      <c r="E240" t="str">
        <f>VLOOKUP(A240,googleAdCopyOutput!A:C,3,2)</f>
        <v>Move-in, turnover and fix-up work (33)</v>
      </c>
      <c r="F240" t="str">
        <f t="shared" si="6"/>
        <v>Bundle several repairs in one visit</v>
      </c>
      <c r="G240" t="str">
        <f t="shared" si="7"/>
        <v>Move-in, turnover and fix-up work</v>
      </c>
    </row>
    <row r="241" spans="1:7" hidden="1">
      <c r="A241" s="1" t="s">
        <v>21</v>
      </c>
      <c r="B241" s="1" t="s">
        <v>57</v>
      </c>
      <c r="C241" s="1" t="s">
        <v>264</v>
      </c>
      <c r="D241" t="str">
        <f>VLOOKUP(A241,googleAdCopyOutput!A:C,2,1)</f>
        <v>Bundle several repairs in one visit (35)</v>
      </c>
      <c r="E241" t="str">
        <f>VLOOKUP(A241,googleAdCopyOutput!A:C,3,2)</f>
        <v>Move-in, turnover and fix-up work (33)</v>
      </c>
      <c r="F241" t="str">
        <f t="shared" si="6"/>
        <v>Bundle several repairs in one visit</v>
      </c>
      <c r="G241" t="str">
        <f t="shared" si="7"/>
        <v>Move-in, turnover and fix-up work</v>
      </c>
    </row>
    <row r="242" spans="1:7" hidden="1">
      <c r="A242" s="1" t="s">
        <v>21</v>
      </c>
      <c r="B242" s="1" t="s">
        <v>57</v>
      </c>
      <c r="C242" s="1" t="s">
        <v>265</v>
      </c>
      <c r="D242" t="str">
        <f>VLOOKUP(A242,googleAdCopyOutput!A:C,2,1)</f>
        <v>Bundle several repairs in one visit (35)</v>
      </c>
      <c r="E242" t="str">
        <f>VLOOKUP(A242,googleAdCopyOutput!A:C,3,2)</f>
        <v>Move-in, turnover and fix-up work (33)</v>
      </c>
      <c r="F242" t="str">
        <f t="shared" si="6"/>
        <v>Bundle several repairs in one visit</v>
      </c>
      <c r="G242" t="str">
        <f t="shared" si="7"/>
        <v>Move-in, turnover and fix-up work</v>
      </c>
    </row>
    <row r="243" spans="1:7" hidden="1">
      <c r="A243" s="1" t="s">
        <v>21</v>
      </c>
      <c r="B243" s="1" t="s">
        <v>57</v>
      </c>
      <c r="C243" s="1" t="s">
        <v>266</v>
      </c>
      <c r="D243" t="str">
        <f>VLOOKUP(A243,googleAdCopyOutput!A:C,2,1)</f>
        <v>Bundle several repairs in one visit (35)</v>
      </c>
      <c r="E243" t="str">
        <f>VLOOKUP(A243,googleAdCopyOutput!A:C,3,2)</f>
        <v>Move-in, turnover and fix-up work (33)</v>
      </c>
      <c r="F243" t="str">
        <f t="shared" si="6"/>
        <v>Bundle several repairs in one visit</v>
      </c>
      <c r="G243" t="str">
        <f t="shared" si="7"/>
        <v>Move-in, turnover and fix-up work</v>
      </c>
    </row>
    <row r="244" spans="1:7" hidden="1">
      <c r="A244" s="1" t="s">
        <v>21</v>
      </c>
      <c r="B244" s="1" t="s">
        <v>57</v>
      </c>
      <c r="C244" s="1" t="s">
        <v>267</v>
      </c>
      <c r="D244" t="str">
        <f>VLOOKUP(A244,googleAdCopyOutput!A:C,2,1)</f>
        <v>Bundle several repairs in one visit (35)</v>
      </c>
      <c r="E244" t="str">
        <f>VLOOKUP(A244,googleAdCopyOutput!A:C,3,2)</f>
        <v>Move-in, turnover and fix-up work (33)</v>
      </c>
      <c r="F244" t="str">
        <f t="shared" si="6"/>
        <v>Bundle several repairs in one visit</v>
      </c>
      <c r="G244" t="str">
        <f t="shared" si="7"/>
        <v>Move-in, turnover and fix-up work</v>
      </c>
    </row>
  </sheetData>
  <autoFilter ref="A1:G244" xr:uid="{10FCBE6D-B95D-4717-9174-120BBFFB7B34}">
    <filterColumn colId="0">
      <filters>
        <filter val="Plumbing Specialties"/>
      </filters>
    </filterColumn>
    <filterColumn colId="1">
      <filters>
        <filter val="descript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googleAdCopyOutput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Choy</dc:creator>
  <cp:lastModifiedBy>Grant</cp:lastModifiedBy>
  <dcterms:created xsi:type="dcterms:W3CDTF">2026-07-19T23:35:16Z</dcterms:created>
  <dcterms:modified xsi:type="dcterms:W3CDTF">2026-07-19T23:57:17Z</dcterms:modified>
</cp:coreProperties>
</file>